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Manas Gupta\Desktop\"/>
    </mc:Choice>
  </mc:AlternateContent>
  <xr:revisionPtr revIDLastSave="0" documentId="8_{6E73302A-1480-4BDD-9A2D-AE67A15072B0}" xr6:coauthVersionLast="47" xr6:coauthVersionMax="47" xr10:uidLastSave="{00000000-0000-0000-0000-000000000000}"/>
  <bookViews>
    <workbookView xWindow="-120" yWindow="-120" windowWidth="20730" windowHeight="11040" xr2:uid="{8F3B6F9F-C4BE-47F7-8A1F-305BC23F46A1}"/>
  </bookViews>
  <sheets>
    <sheet name="All_India_Index_Upto_April23" sheetId="1" r:id="rId1"/>
    <sheet name="Analysis 1" sheetId="2" r:id="rId2"/>
    <sheet name="Analysis 2" sheetId="10" r:id="rId3"/>
    <sheet name="Analysis 3" sheetId="4" r:id="rId4"/>
    <sheet name="Analysis 4" sheetId="5" r:id="rId5"/>
    <sheet name="Analysis 5" sheetId="7" r:id="rId6"/>
  </sheets>
  <definedNames>
    <definedName name="_xlnm._FilterDatabase" localSheetId="0" hidden="1">All_India_Index_Upto_April23!$A$1:$AD$373</definedName>
  </definedNames>
  <calcPr calcId="191029"/>
  <pivotCaches>
    <pivotCache cacheId="4" r:id="rId7"/>
    <pivotCache cacheId="5"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9" i="7" l="1"/>
  <c r="J10" i="7"/>
  <c r="J11" i="7"/>
  <c r="C98" i="7"/>
  <c r="D98"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L104" i="7"/>
  <c r="K104" i="7"/>
  <c r="D131"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04" i="7"/>
  <c r="L72" i="7"/>
  <c r="L73" i="7"/>
  <c r="L74" i="7"/>
  <c r="L75" i="7"/>
  <c r="L76" i="7"/>
  <c r="L77" i="7"/>
  <c r="L78" i="7"/>
  <c r="L79" i="7"/>
  <c r="L80" i="7"/>
  <c r="L81" i="7"/>
  <c r="L82" i="7"/>
  <c r="L83" i="7"/>
  <c r="L84" i="7"/>
  <c r="L85" i="7"/>
  <c r="L86" i="7"/>
  <c r="L87" i="7"/>
  <c r="L88" i="7"/>
  <c r="L89" i="7"/>
  <c r="L90" i="7"/>
  <c r="L91" i="7"/>
  <c r="L92" i="7"/>
  <c r="L93" i="7"/>
  <c r="L94" i="7"/>
  <c r="L95" i="7"/>
  <c r="L96" i="7"/>
  <c r="L97" i="7"/>
  <c r="L98" i="7"/>
  <c r="L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71" i="7"/>
  <c r="D72" i="7"/>
  <c r="D73" i="7"/>
  <c r="D74" i="7"/>
  <c r="D75" i="7"/>
  <c r="D76" i="7"/>
  <c r="D77" i="7"/>
  <c r="D78" i="7"/>
  <c r="D79" i="7"/>
  <c r="D80" i="7"/>
  <c r="D81" i="7"/>
  <c r="D82" i="7"/>
  <c r="D83" i="7"/>
  <c r="D84" i="7"/>
  <c r="D85" i="7"/>
  <c r="D86" i="7"/>
  <c r="D87" i="7"/>
  <c r="D88" i="7"/>
  <c r="D89" i="7"/>
  <c r="D90" i="7"/>
  <c r="D91" i="7"/>
  <c r="D92" i="7"/>
  <c r="D93" i="7"/>
  <c r="D94" i="7"/>
  <c r="D95" i="7"/>
  <c r="D96" i="7"/>
  <c r="D97" i="7"/>
  <c r="D71" i="7"/>
  <c r="C72" i="7"/>
  <c r="C73" i="7"/>
  <c r="C74" i="7"/>
  <c r="C75" i="7"/>
  <c r="C76" i="7"/>
  <c r="C77" i="7"/>
  <c r="C78" i="7"/>
  <c r="C79" i="7"/>
  <c r="C80" i="7"/>
  <c r="C81" i="7"/>
  <c r="C82" i="7"/>
  <c r="C83" i="7"/>
  <c r="C84" i="7"/>
  <c r="C85" i="7"/>
  <c r="C86" i="7"/>
  <c r="C87" i="7"/>
  <c r="C88" i="7"/>
  <c r="C89" i="7"/>
  <c r="C90" i="7"/>
  <c r="C91" i="7"/>
  <c r="C92" i="7"/>
  <c r="C93" i="7"/>
  <c r="C94" i="7"/>
  <c r="C95" i="7"/>
  <c r="C96" i="7"/>
  <c r="C97" i="7"/>
  <c r="C71" i="7"/>
  <c r="C36" i="7"/>
  <c r="C37" i="7"/>
  <c r="D37" i="7"/>
  <c r="C38" i="7"/>
  <c r="D38" i="7"/>
  <c r="C39" i="7"/>
  <c r="D39" i="7"/>
  <c r="C40" i="7"/>
  <c r="D40" i="7"/>
  <c r="C41" i="7"/>
  <c r="D41" i="7"/>
  <c r="C42" i="7"/>
  <c r="D42" i="7"/>
  <c r="C43" i="7"/>
  <c r="D43" i="7"/>
  <c r="C44" i="7"/>
  <c r="D44" i="7"/>
  <c r="C45" i="7"/>
  <c r="D45" i="7"/>
  <c r="C46" i="7"/>
  <c r="D46" i="7"/>
  <c r="C47" i="7"/>
  <c r="D47" i="7"/>
  <c r="C48" i="7"/>
  <c r="D48" i="7"/>
  <c r="C49" i="7"/>
  <c r="D49" i="7"/>
  <c r="C50" i="7"/>
  <c r="D50" i="7"/>
  <c r="C51" i="7"/>
  <c r="D51" i="7"/>
  <c r="C52" i="7"/>
  <c r="D52" i="7"/>
  <c r="C53" i="7"/>
  <c r="D53" i="7"/>
  <c r="C54" i="7"/>
  <c r="D54" i="7"/>
  <c r="C55" i="7"/>
  <c r="D55" i="7"/>
  <c r="C56" i="7"/>
  <c r="D56" i="7"/>
  <c r="C57" i="7"/>
  <c r="D57" i="7"/>
  <c r="C58" i="7"/>
  <c r="D58" i="7"/>
  <c r="C59" i="7"/>
  <c r="D59" i="7"/>
  <c r="C60" i="7"/>
  <c r="D60" i="7"/>
  <c r="C61" i="7"/>
  <c r="D61" i="7"/>
  <c r="C62" i="7"/>
  <c r="D62" i="7"/>
  <c r="C63" i="7"/>
  <c r="D63" i="7"/>
  <c r="C64" i="7"/>
  <c r="D64" i="7"/>
  <c r="E64" i="7"/>
  <c r="F64" i="7"/>
  <c r="G64" i="7"/>
  <c r="G37" i="7"/>
  <c r="G38" i="7"/>
  <c r="G39" i="7"/>
  <c r="G40" i="7"/>
  <c r="G41" i="7"/>
  <c r="G42" i="7"/>
  <c r="G43" i="7"/>
  <c r="G44" i="7"/>
  <c r="G45" i="7"/>
  <c r="G46" i="7"/>
  <c r="G47" i="7"/>
  <c r="G48" i="7"/>
  <c r="G49" i="7"/>
  <c r="G50" i="7"/>
  <c r="G51" i="7"/>
  <c r="G52" i="7"/>
  <c r="G53" i="7"/>
  <c r="G54" i="7"/>
  <c r="G55" i="7"/>
  <c r="G56" i="7"/>
  <c r="G57" i="7"/>
  <c r="G58" i="7"/>
  <c r="G59" i="7"/>
  <c r="G60" i="7"/>
  <c r="G61" i="7"/>
  <c r="G62" i="7"/>
  <c r="G63" i="7"/>
  <c r="E37" i="7"/>
  <c r="F37" i="7"/>
  <c r="E38" i="7"/>
  <c r="F38" i="7"/>
  <c r="E39" i="7"/>
  <c r="F39" i="7"/>
  <c r="E40" i="7"/>
  <c r="F40" i="7"/>
  <c r="E41" i="7"/>
  <c r="F41" i="7"/>
  <c r="E42" i="7"/>
  <c r="F42" i="7"/>
  <c r="E43" i="7"/>
  <c r="F43" i="7"/>
  <c r="E44" i="7"/>
  <c r="F44" i="7"/>
  <c r="E45" i="7"/>
  <c r="F45" i="7"/>
  <c r="E46" i="7"/>
  <c r="F46" i="7"/>
  <c r="E47" i="7"/>
  <c r="F47" i="7"/>
  <c r="E48" i="7"/>
  <c r="F48" i="7"/>
  <c r="E49" i="7"/>
  <c r="F49" i="7"/>
  <c r="E50" i="7"/>
  <c r="F50" i="7"/>
  <c r="E51" i="7"/>
  <c r="F51" i="7"/>
  <c r="E52" i="7"/>
  <c r="F52" i="7"/>
  <c r="E53" i="7"/>
  <c r="F53" i="7"/>
  <c r="E54" i="7"/>
  <c r="F54" i="7"/>
  <c r="E55" i="7"/>
  <c r="F55" i="7"/>
  <c r="E56" i="7"/>
  <c r="F56" i="7"/>
  <c r="E57" i="7"/>
  <c r="F57" i="7"/>
  <c r="E58" i="7"/>
  <c r="F58" i="7"/>
  <c r="E59" i="7"/>
  <c r="F59" i="7"/>
  <c r="E60" i="7"/>
  <c r="F60" i="7"/>
  <c r="E61" i="7"/>
  <c r="F61" i="7"/>
  <c r="E62" i="7"/>
  <c r="F62" i="7"/>
  <c r="E63" i="7"/>
  <c r="F63" i="7"/>
  <c r="J8" i="7"/>
  <c r="H54" i="5"/>
  <c r="H55" i="5"/>
  <c r="H56" i="5"/>
  <c r="H57" i="5"/>
  <c r="H58" i="5"/>
  <c r="H59" i="5"/>
  <c r="G54" i="5"/>
  <c r="G55" i="5"/>
  <c r="G56" i="5"/>
  <c r="G57" i="5"/>
  <c r="G58" i="5"/>
  <c r="G59" i="5"/>
  <c r="F54" i="5"/>
  <c r="F55" i="5"/>
  <c r="F56" i="5"/>
  <c r="F57" i="5"/>
  <c r="F58" i="5"/>
  <c r="F59" i="5"/>
  <c r="E54" i="5"/>
  <c r="E55" i="5"/>
  <c r="E56" i="5"/>
  <c r="E57" i="5"/>
  <c r="E58" i="5"/>
  <c r="E59" i="5"/>
  <c r="D54" i="5"/>
  <c r="D55" i="5"/>
  <c r="D56" i="5"/>
  <c r="D57" i="5"/>
  <c r="D58" i="5"/>
  <c r="D59" i="5"/>
  <c r="H51" i="5"/>
  <c r="C55" i="5"/>
  <c r="G51" i="5"/>
  <c r="F51" i="5"/>
  <c r="E51" i="5"/>
  <c r="D51" i="5"/>
  <c r="C56" i="5"/>
  <c r="C57" i="5"/>
  <c r="C58" i="5"/>
  <c r="C59" i="5"/>
  <c r="C51" i="5"/>
  <c r="H50" i="5"/>
  <c r="G50" i="5"/>
  <c r="F50" i="5"/>
  <c r="E50" i="5"/>
  <c r="D50" i="5"/>
  <c r="C50" i="5"/>
  <c r="H34" i="5"/>
  <c r="H35" i="5"/>
  <c r="H36" i="5"/>
  <c r="H37" i="5"/>
  <c r="H38" i="5"/>
  <c r="H39" i="5"/>
  <c r="H40" i="5"/>
  <c r="H41" i="5"/>
  <c r="H42" i="5"/>
  <c r="H43" i="5"/>
  <c r="H44" i="5"/>
  <c r="G34" i="5"/>
  <c r="G35" i="5"/>
  <c r="G36" i="5"/>
  <c r="G37" i="5"/>
  <c r="G38" i="5"/>
  <c r="G39" i="5"/>
  <c r="G40" i="5"/>
  <c r="G41" i="5"/>
  <c r="G42" i="5"/>
  <c r="G43" i="5"/>
  <c r="G44" i="5"/>
  <c r="F34" i="5"/>
  <c r="F35" i="5"/>
  <c r="F36" i="5"/>
  <c r="F37" i="5"/>
  <c r="F38" i="5"/>
  <c r="F39" i="5"/>
  <c r="F40" i="5"/>
  <c r="F41" i="5"/>
  <c r="F42" i="5"/>
  <c r="F43" i="5"/>
  <c r="F44" i="5"/>
  <c r="E34" i="5"/>
  <c r="E35" i="5"/>
  <c r="E36" i="5"/>
  <c r="E37" i="5"/>
  <c r="E38" i="5"/>
  <c r="E39" i="5"/>
  <c r="E40" i="5"/>
  <c r="E41" i="5"/>
  <c r="E42" i="5"/>
  <c r="E43" i="5"/>
  <c r="E44" i="5"/>
  <c r="D34" i="5"/>
  <c r="D35" i="5"/>
  <c r="D36" i="5"/>
  <c r="D37" i="5"/>
  <c r="D38" i="5"/>
  <c r="D39" i="5"/>
  <c r="D40" i="5"/>
  <c r="D41" i="5"/>
  <c r="D42" i="5"/>
  <c r="D43" i="5"/>
  <c r="D44" i="5"/>
  <c r="H33" i="5"/>
  <c r="G33" i="5"/>
  <c r="F33" i="5"/>
  <c r="E33" i="5"/>
  <c r="D33" i="5"/>
  <c r="C34" i="5"/>
  <c r="C35" i="5"/>
  <c r="C36" i="5"/>
  <c r="C37" i="5"/>
  <c r="C38" i="5"/>
  <c r="C39" i="5"/>
  <c r="C40" i="5"/>
  <c r="C41" i="5"/>
  <c r="C42" i="5"/>
  <c r="C43" i="5"/>
  <c r="C44" i="5"/>
  <c r="C33" i="5"/>
  <c r="I13" i="2"/>
  <c r="I10" i="2"/>
  <c r="I11" i="2"/>
  <c r="I14" i="2"/>
  <c r="I12" i="2"/>
  <c r="I9" i="2"/>
  <c r="F13" i="10"/>
  <c r="F12" i="10"/>
  <c r="F11" i="10"/>
  <c r="F10" i="10"/>
  <c r="F9" i="10"/>
  <c r="F8" i="10"/>
  <c r="F7" i="10"/>
  <c r="C45" i="5" l="1"/>
  <c r="G45" i="5"/>
  <c r="E45" i="5"/>
  <c r="F45" i="5"/>
  <c r="D45" i="5"/>
  <c r="H45" i="5"/>
  <c r="C54" i="5"/>
  <c r="I15" i="2"/>
  <c r="E20" i="5"/>
  <c r="D20" i="5"/>
  <c r="H20" i="5"/>
  <c r="C20" i="5"/>
  <c r="F20" i="5"/>
  <c r="G20" i="5"/>
  <c r="D52" i="5" l="1"/>
  <c r="D53" i="5"/>
  <c r="E52" i="5"/>
  <c r="E53" i="5"/>
  <c r="F52" i="5"/>
  <c r="F53" i="5"/>
  <c r="C52" i="5"/>
  <c r="C60" i="5" s="1"/>
  <c r="C53" i="5"/>
  <c r="H52" i="5"/>
  <c r="H53" i="5"/>
  <c r="G52" i="5"/>
  <c r="G53" i="5"/>
  <c r="H60" i="5" l="1"/>
  <c r="D60" i="5"/>
  <c r="F60" i="5"/>
  <c r="G60" i="5"/>
  <c r="E60" i="5"/>
</calcChain>
</file>

<file path=xl/sharedStrings.xml><?xml version="1.0" encoding="utf-8"?>
<sst xmlns="http://schemas.openxmlformats.org/spreadsheetml/2006/main" count="1473" uniqueCount="82">
  <si>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</si>
  <si>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</si>
  <si>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</si>
  <si>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</si>
  <si>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</si>
  <si>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</si>
  <si>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</si>
  <si>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</si>
  <si>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</si>
  <si>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</si>
  <si>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</si>
  <si>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</si>
  <si>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</si>
  <si>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</si>
  <si>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</si>
  <si>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</si>
  <si>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</si>
  <si>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</si>
  <si>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</si>
  <si>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</si>
  <si>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</si>
  <si>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</si>
  <si>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</si>
  <si>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</si>
  <si>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</si>
  <si>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</si>
  <si>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</si>
  <si>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</si>
  <si>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</si>
  <si>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</si>
  <si>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</si>
  <si>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</si>
  <si>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NA</t>
  </si>
  <si>
    <t>Urban</t>
  </si>
  <si>
    <t>Rural+Urban</t>
  </si>
  <si>
    <t>February</t>
  </si>
  <si>
    <t>March</t>
  </si>
  <si>
    <t>April</t>
  </si>
  <si>
    <t>May</t>
  </si>
  <si>
    <t>June</t>
  </si>
  <si>
    <t>July</t>
  </si>
  <si>
    <t>August</t>
  </si>
  <si>
    <t>September</t>
  </si>
  <si>
    <t>October</t>
  </si>
  <si>
    <t xml:space="preserve">November </t>
  </si>
  <si>
    <t>November</t>
  </si>
  <si>
    <t>December</t>
  </si>
  <si>
    <t>Marcrh</t>
  </si>
  <si>
    <t>-</t>
  </si>
  <si>
    <t xml:space="preserve"> Transport and communication</t>
  </si>
  <si>
    <t>cpi value</t>
  </si>
  <si>
    <t>broader category</t>
  </si>
  <si>
    <t>detailed category</t>
  </si>
  <si>
    <t>Row Labels</t>
  </si>
  <si>
    <t>Grand Total</t>
  </si>
  <si>
    <t>Sum of cpi value</t>
  </si>
  <si>
    <t>% of cpi value</t>
  </si>
  <si>
    <t>Broader Category with Contribution Towards CPI calcultion</t>
  </si>
  <si>
    <t xml:space="preserve">Finding the highest contributor for latest  month </t>
  </si>
  <si>
    <t>Food and beverages has the highest contributuon towards CPI calculation</t>
  </si>
  <si>
    <t>Total</t>
  </si>
  <si>
    <t>Biggest individual Food and Bucket contributor is spices with 1.4%.</t>
  </si>
  <si>
    <t xml:space="preserve"> </t>
  </si>
  <si>
    <t>After March 2020</t>
  </si>
  <si>
    <t>Before March 2020</t>
  </si>
  <si>
    <t xml:space="preserve">Before March </t>
  </si>
  <si>
    <t>Buckets</t>
  </si>
  <si>
    <t xml:space="preserve">Analyzing inflation before and after march we find a significant increase in the overall inflation for esential products and services as on set on the Covid'19  pandemic </t>
  </si>
  <si>
    <t>Crude Oil</t>
  </si>
  <si>
    <t>Correlation between crude oil and and buckets</t>
  </si>
  <si>
    <t>Transport and Communication</t>
  </si>
  <si>
    <t>Inflation Between Crude Oil &amp; Food and beverges</t>
  </si>
  <si>
    <t>Inflation Between Crude Oil &amp; Fuel and light</t>
  </si>
  <si>
    <t>Inflation Between Crude Oil &amp; Health</t>
  </si>
  <si>
    <t>Inflation Between Crude Oil &amp; Transport and Communication</t>
  </si>
  <si>
    <t>Correlation</t>
  </si>
  <si>
    <t>All the bucket sector have strong correlation with the change in Crude Oil price.</t>
  </si>
  <si>
    <t>Transport and communication bucket get more impact with the changing crude oil prices.</t>
  </si>
  <si>
    <t>Average of General index</t>
  </si>
  <si>
    <t>Y-o-Y Inflation Rate</t>
  </si>
  <si>
    <t>Calculation of Inflation rate</t>
  </si>
  <si>
    <t>India Saw Highest Inflation Rate in Year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</si>
</sst>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7"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6"/>
      <color theme="1"/>
      <name val="Aptos Narrow"/>
      <family val="2"/>
      <scheme val="minor"/>
    </font>
    <font>
      <b/>
      <sz val="14"/>
      <color theme="1"/>
      <name val="Calibri"/>
      <family val="2"/>
    </font>
    <font>
      <b/>
      <sz val="14"/>
      <color rgb="FF7030A0"/>
      <name val="Aptos Narrow"/>
      <family val="2"/>
      <scheme val="minor"/>
    </font>
    <font>
      <sz val="11"/>
      <color theme="2"/>
      <name val="Aptos Narrow"/>
      <family val="2"/>
      <scheme val="minor"/>
    </font>
    <font>
      <b/>
      <sz val="12"/>
      <color theme="1"/>
      <name val="Aptos Narrow"/>
      <family val="2"/>
      <scheme val="minor"/>
    </font>
    <font>
      <sz val="11"/>
      <color rgb="FF333333"/>
      <name val="Arial"/>
      <family val="2"/>
    </font>
    <font>
      <sz val="12"/>
      <color theme="1"/>
      <name val="Aptos Narrow"/>
      <family val="2"/>
      <scheme val="minor"/>
    </font>
    <font>
      <b/>
      <sz val="12"/>
      <color theme="0"/>
      <name val="Aptos Narrow"/>
      <family val="2"/>
      <scheme val="minor"/>
    </font>
  </fonts>
  <fills count="5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
      <patternFill patternType="solid">
        <fgColor rgb="FFFFFF00"/>
        <bgColor indexed="64"/>
      </patternFill>
    </fill>
    <fill>
      <patternFill patternType="solid">
        <fgColor theme="3" tint="0.749992370372631"/>
        <bgColor indexed="64"/>
      </patternFill>
    </fill>
    <fill>
      <patternFill patternType="solid">
        <fgColor theme="5"/>
        <bgColor indexed="64"/>
      </patternFill>
    </fill>
    <fill>
      <patternFill patternType="solid">
        <fgColor rgb="FFFFC000"/>
        <bgColor theme="0"/>
      </patternFill>
    </fill>
    <fill>
      <patternFill patternType="solid">
        <fgColor rgb="FF00B0F0"/>
        <bgColor indexed="64"/>
      </patternFill>
    </fill>
    <fill>
      <patternFill patternType="solid">
        <fgColor rgb="FF7030A0"/>
        <bgColor indexed="64"/>
      </patternFill>
    </fill>
    <fill>
      <patternFill patternType="solid">
        <fgColor theme="1" tint="0.249977111117893"/>
        <bgColor indexed="64"/>
      </patternFill>
    </fill>
    <fill>
      <patternFill patternType="solid">
        <fgColor rgb="FF92D050"/>
        <bgColor indexed="64"/>
      </patternFill>
    </fill>
    <fill>
      <patternFill patternType="solid">
        <fgColor rgb="FFFFFFFF"/>
        <bgColor indexed="64"/>
      </patternFill>
    </fill>
    <fill>
      <patternFill patternType="solid">
        <fgColor rgb="FFEFEFEF"/>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0"/>
        <bgColor indexed="64"/>
      </patternFill>
    </fill>
    <fill>
      <patternFill patternType="solid">
        <fgColor theme="4" tint="0.39997558519241921"/>
        <bgColor indexed="64"/>
      </patternFill>
    </fill>
    <fill>
      <patternFill patternType="solid">
        <fgColor rgb="FF002060"/>
        <bgColor indexed="64"/>
      </patternFill>
    </fill>
    <fill>
      <patternFill patternType="solid">
        <fgColor theme="3" tint="0.89999084444715716"/>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6">
    <xf numFmtId="0" fontId="0" fillId="0" borderId="0" xfId="0"/>
    <xf numFmtId="0" fontId="0" fillId="0" borderId="0" xfId="0" applyAlignment="1">
      <alignment horizontal="left"/>
    </xf>
    <xf numFmtId="0" fontId="0" fillId="0" borderId="0" xfId="0" applyNumberFormat="1"/>
    <xf numFmtId="9" fontId="0" fillId="0" borderId="0" xfId="1" applyNumberFormat="1" applyFont="1"/>
    <xf numFmtId="0" fontId="0" fillId="33" borderId="0" xfId="0" applyFill="1"/>
    <xf numFmtId="0" fontId="19" fillId="33" borderId="0" xfId="0" applyFont="1" applyFill="1"/>
    <xf numFmtId="0" fontId="0" fillId="34" borderId="0" xfId="0" applyFill="1"/>
    <xf numFmtId="0" fontId="0" fillId="35" borderId="0" xfId="0" applyFill="1"/>
    <xf numFmtId="0" fontId="0" fillId="36" borderId="0" xfId="0" applyFill="1" applyAlignment="1">
      <alignment horizontal="left"/>
    </xf>
    <xf numFmtId="0" fontId="0" fillId="36" borderId="0" xfId="0" applyNumberFormat="1" applyFill="1"/>
    <xf numFmtId="9" fontId="0" fillId="36" borderId="0" xfId="1" applyFont="1" applyFill="1"/>
    <xf numFmtId="0" fontId="20" fillId="37" borderId="0" xfId="0" applyFont="1" applyFill="1"/>
    <xf numFmtId="0" fontId="21" fillId="0" borderId="0" xfId="0" applyFont="1"/>
    <xf numFmtId="0" fontId="23" fillId="0" borderId="0" xfId="0" applyFont="1"/>
    <xf numFmtId="0" fontId="0" fillId="0" borderId="10" xfId="0" applyBorder="1"/>
    <xf numFmtId="0" fontId="0" fillId="38" borderId="10" xfId="0" applyFill="1" applyBorder="1"/>
    <xf numFmtId="164" fontId="0" fillId="0" borderId="10" xfId="0" applyNumberFormat="1" applyBorder="1"/>
    <xf numFmtId="0" fontId="22" fillId="39" borderId="10" xfId="0" applyFont="1" applyFill="1" applyBorder="1"/>
    <xf numFmtId="164" fontId="22" fillId="39" borderId="10" xfId="0" applyNumberFormat="1" applyFont="1" applyFill="1" applyBorder="1"/>
    <xf numFmtId="0" fontId="17" fillId="40" borderId="10" xfId="0" applyFont="1" applyFill="1" applyBorder="1"/>
    <xf numFmtId="164" fontId="17" fillId="40" borderId="10" xfId="0" applyNumberFormat="1" applyFont="1" applyFill="1" applyBorder="1"/>
    <xf numFmtId="0" fontId="23" fillId="38" borderId="10" xfId="0" applyFont="1" applyFill="1" applyBorder="1"/>
    <xf numFmtId="0" fontId="23" fillId="41" borderId="10" xfId="0" applyFont="1" applyFill="1" applyBorder="1"/>
    <xf numFmtId="0" fontId="0" fillId="0" borderId="0" xfId="0" pivotButton="1"/>
    <xf numFmtId="0" fontId="0" fillId="44" borderId="10" xfId="0" applyFill="1" applyBorder="1"/>
    <xf numFmtId="0" fontId="0" fillId="45" borderId="10" xfId="0" applyFill="1" applyBorder="1"/>
    <xf numFmtId="0" fontId="24" fillId="42" borderId="10" xfId="0" applyNumberFormat="1" applyFont="1" applyFill="1" applyBorder="1" applyAlignment="1">
      <alignment horizontal="right" vertical="center" wrapText="1"/>
    </xf>
    <xf numFmtId="0" fontId="24" fillId="43" borderId="10" xfId="0" applyNumberFormat="1" applyFont="1" applyFill="1" applyBorder="1" applyAlignment="1">
      <alignment horizontal="right" vertical="center" wrapText="1"/>
    </xf>
    <xf numFmtId="0" fontId="0" fillId="35" borderId="10" xfId="0" applyFill="1" applyBorder="1"/>
    <xf numFmtId="0" fontId="23" fillId="46" borderId="0" xfId="0" applyFont="1" applyFill="1" applyBorder="1"/>
    <xf numFmtId="0" fontId="23" fillId="0" borderId="0" xfId="0" applyFont="1" applyAlignment="1"/>
    <xf numFmtId="0" fontId="0" fillId="47" borderId="10" xfId="0" applyFill="1" applyBorder="1"/>
    <xf numFmtId="0" fontId="17" fillId="48" borderId="10" xfId="0" applyFont="1" applyFill="1" applyBorder="1"/>
    <xf numFmtId="0" fontId="26" fillId="48" borderId="10" xfId="0" applyFont="1" applyFill="1" applyBorder="1"/>
    <xf numFmtId="0" fontId="25" fillId="49" borderId="10" xfId="0" applyFont="1" applyFill="1" applyBorder="1"/>
    <xf numFmtId="0" fontId="17" fillId="48" borderId="13" xfId="0" applyFont="1" applyFill="1" applyBorder="1" applyAlignment="1"/>
    <xf numFmtId="0" fontId="17" fillId="48" borderId="0" xfId="0" applyFont="1" applyFill="1" applyBorder="1" applyAlignment="1"/>
    <xf numFmtId="0" fontId="0"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23" fillId="41" borderId="10" xfId="0" applyFont="1" applyFill="1" applyBorder="1" applyAlignment="1">
      <alignment horizontal="center"/>
    </xf>
    <xf numFmtId="164" fontId="0" fillId="0" borderId="10" xfId="0" applyNumberFormat="1" applyBorder="1" applyAlignment="1">
      <alignment horizontal="center"/>
    </xf>
    <xf numFmtId="164" fontId="0" fillId="0" borderId="11" xfId="0" applyNumberFormat="1" applyBorder="1" applyAlignment="1">
      <alignment horizontal="center"/>
    </xf>
    <xf numFmtId="164" fontId="0" fillId="0" borderId="12" xfId="0" applyNumberFormat="1" applyBorder="1" applyAlignment="1">
      <alignment horizontal="center"/>
    </xf>
    <xf numFmtId="0" fontId="26" fillId="48" borderId="10" xfId="0" applyFont="1" applyFill="1" applyBorder="1" applyAlignment="1">
      <alignment horizontal="center"/>
    </xf>
    <xf numFmtId="164" fontId="25" fillId="0" borderId="10" xfId="0" applyNumberFormat="1" applyFont="1" applyBorder="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
    <dxf>
      <fill>
        <patternFill patternType="solid">
          <bgColor theme="5"/>
        </patternFill>
      </fill>
    </dxf>
    <dxf>
      <fill>
        <patternFill patternType="solid">
          <bgColor theme="5"/>
        </patternFill>
      </fill>
    </dxf>
    <dxf>
      <fill>
        <patternFill patternType="solid">
          <bgColor theme="3" tint="0.749992370372631"/>
        </patternFill>
      </fill>
    </dxf>
    <dxf>
      <fill>
        <patternFill patternType="solid">
          <bgColor theme="3" tint="0.749992370372631"/>
        </patternFill>
      </fill>
    </dxf>
  </dxfs>
  <tableStyles count="0" defaultTableStyle="TableStyleMedium2" defaultPivotStyle="PivotStyleLight16"/>
  <colors>
    <mruColors>
      <color rgb="FF9AF2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[Cpi Data Analysis by Manas Gupta.xlsx]Analysis 1!PivotTable1</c:name>
    <c:fmtId val="1"/>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'Analysis 1'!$H$8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966-43DF-B843-80EE7F4527D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966-43DF-B843-80EE7F4527D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966-43DF-B843-80EE7F4527D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966-43DF-B843-80EE7F4527D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966-43DF-B843-80EE7F4527D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4966-43DF-B843-80EE7F4527D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1'!$G$9:$G$15</c:f>
              <c:strCache>
                <c:ptCount val="6"/>
                <c:pt idx="0">
                  <c:v>Clothing and footwear</c:v>
                </c:pt>
                <c:pt idx="1">
                  <c:v>Food and beverages</c:v>
                </c:pt>
                <c:pt idx="2">
                  <c:v>Fuel and light</c:v>
                </c:pt>
                <c:pt idx="3">
                  <c:v>Housing</c:v>
                </c:pt>
                <c:pt idx="4">
                  <c:v>Miscellaneous</c:v>
                </c:pt>
                <c:pt idx="5">
                  <c:v>Pan, tobacco and intoxicants</c:v>
                </c:pt>
              </c:strCache>
            </c:strRef>
          </c:cat>
          <c:val>
            <c:numRef>
              <c:f>'Analysis 1'!$H$9:$H$15</c:f>
              <c:numCache>
                <c:formatCode>General</c:formatCode>
                <c:ptCount val="6"/>
                <c:pt idx="0">
                  <c:v>367</c:v>
                </c:pt>
                <c:pt idx="1">
                  <c:v>2127.8000000000002</c:v>
                </c:pt>
                <c:pt idx="2">
                  <c:v>182.8</c:v>
                </c:pt>
                <c:pt idx="3">
                  <c:v>175.6</c:v>
                </c:pt>
                <c:pt idx="4">
                  <c:v>1059.2</c:v>
                </c:pt>
                <c:pt idx="5">
                  <c:v>201</c:v>
                </c:pt>
              </c:numCache>
            </c:numRef>
          </c:val>
          <c:extLst>
            <c:ext xmlns:c16="http://schemas.microsoft.com/office/drawing/2014/chart" uri="{C3380CC4-5D6E-409C-BE32-E72D297353CC}">
              <c16:uniqueId val="{00000000-DB05-4E4E-BFD5-A098909D049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7835006522503938"/>
          <c:y val="0.35742847170290354"/>
          <c:w val="0.28077442138618752"/>
          <c:h val="0.553580210176479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manualLayout>
          <c:layoutTarget val="inner"/>
          <c:xMode val="edge"/>
          <c:yMode val="edge"/>
          <c:x val="9.1983814523184604E-2"/>
          <c:y val="0.17171296296296298"/>
          <c:w val="0.87746062992125984"/>
          <c:h val="0.72125801983085447"/>
        </c:manualLayout>
      </c:layout>
      <c:lineChart>
        <c:grouping val="standard"/>
        <c:varyColors val="0"/>
        <c:ser>
          <c:idx val="0"/>
          <c:order val="0"/>
          <c:tx>
            <c:strRef>
              <c:f>'Analysis 2'!$F$6</c:f>
              <c:strCache>
                <c:ptCount val="1"/>
                <c:pt idx="0">
                  <c:v>Y-o-Y Inflation Rate</c:v>
                </c:pt>
              </c:strCache>
            </c:strRef>
          </c:tx>
          <c:spPr>
            <a:ln w="22225" cap="rnd">
              <a:solidFill>
                <a:schemeClr val="accent1"/>
              </a:solidFill>
            </a:ln>
            <a:effectLst>
              <a:glow rad="139700">
                <a:schemeClr val="accent1">
                  <a:satMod val="175000"/>
                  <a:alpha val="14000"/>
                </a:schemeClr>
              </a:glow>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'Analysis 2'!$E$7:$E$13</c:f>
              <c:numCache>
                <c:formatCode>General</c:formatCode>
                <c:ptCount val="7"/>
                <c:pt idx="0">
                  <c:v>2017</c:v>
                </c:pt>
                <c:pt idx="1">
                  <c:v>2018</c:v>
                </c:pt>
                <c:pt idx="2">
                  <c:v>2019</c:v>
                </c:pt>
                <c:pt idx="3">
                  <c:v>2020</c:v>
                </c:pt>
                <c:pt idx="4">
                  <c:v>2021</c:v>
                </c:pt>
                <c:pt idx="5">
                  <c:v>2022</c:v>
                </c:pt>
                <c:pt idx="6">
                  <c:v>2023</c:v>
                </c:pt>
              </c:numCache>
            </c:numRef>
          </c:cat>
          <c:val>
            <c:numRef>
              <c:f>'Analysis 2'!$F$7:$F$13</c:f>
              <c:numCache>
                <c:formatCode>0.0%</c:formatCode>
                <c:ptCount val="7"/>
                <c:pt idx="0">
                  <c:v>3.3199931147258686E-2</c:v>
                </c:pt>
                <c:pt idx="1">
                  <c:v>3.9609321310314437E-2</c:v>
                </c:pt>
                <c:pt idx="2">
                  <c:v>3.9358550145593821E-2</c:v>
                </c:pt>
                <c:pt idx="3">
                  <c:v>6.3851393969975745E-2</c:v>
                </c:pt>
                <c:pt idx="4">
                  <c:v>5.274027696254309E-2</c:v>
                </c:pt>
                <c:pt idx="5">
                  <c:v>6.6029943211151423E-2</c:v>
                </c:pt>
                <c:pt idx="6">
                  <c:v>3.1953121216523474E-2</c:v>
                </c:pt>
              </c:numCache>
            </c:numRef>
          </c:val>
          <c:smooth val="0"/>
          <c:extLst>
            <c:ext xmlns:c16="http://schemas.microsoft.com/office/drawing/2014/chart" uri="{C3380CC4-5D6E-409C-BE32-E72D297353CC}">
              <c16:uniqueId val="{00000000-E2C2-4B6F-BE68-5213BC1B08F6}"/>
            </c:ext>
          </c:extLst>
        </c:ser>
        <c:dLbls>
          <c:dLblPos val="t"/>
          <c:showLegendKey val="0"/>
          <c:showVal val="1"/>
          <c:showCatName val="0"/>
          <c:showSerName val="0"/>
          <c:showPercent val="0"/>
          <c:showBubbleSize val="0"/>
        </c:dLbls>
        <c:smooth val="0"/>
        <c:axId val="86533391"/>
        <c:axId val="86535311"/>
      </c:lineChart>
      <c:catAx>
        <c:axId val="8653339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6535311"/>
        <c:crosses val="autoZero"/>
        <c:auto val="1"/>
        <c:lblAlgn val="ctr"/>
        <c:lblOffset val="100"/>
        <c:noMultiLvlLbl val="0"/>
      </c:catAx>
      <c:valAx>
        <c:axId val="8653531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6533391"/>
        <c:crosses val="autoZero"/>
        <c:crossBetween val="between"/>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Inflation before March</a:t>
            </a:r>
            <a:r>
              <a:rPr lang="en-US" baseline="0"/>
              <a:t> 2020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 4'!$C$32</c:f>
              <c:strCache>
                <c:ptCount val="1"/>
                <c:pt idx="0">
                  <c:v>Food and beverages</c:v>
                </c:pt>
              </c:strCache>
            </c:strRef>
          </c:tx>
          <c:spPr>
            <a:solidFill>
              <a:schemeClr val="accent1"/>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4'!$C$33:$C$44</c:f>
              <c:numCache>
                <c:formatCode>0.0%</c:formatCode>
                <c:ptCount val="12"/>
                <c:pt idx="0">
                  <c:v>7.2780203784566459E-4</c:v>
                </c:pt>
                <c:pt idx="1">
                  <c:v>4.3636363636363222E-3</c:v>
                </c:pt>
                <c:pt idx="2">
                  <c:v>2.0275162925416448E-2</c:v>
                </c:pt>
                <c:pt idx="3">
                  <c:v>1.2775017743080078E-2</c:v>
                </c:pt>
                <c:pt idx="4">
                  <c:v>1.4015416958654521E-2</c:v>
                </c:pt>
                <c:pt idx="5">
                  <c:v>8.2930200414652183E-3</c:v>
                </c:pt>
                <c:pt idx="6">
                  <c:v>7.5394105551747376E-3</c:v>
                </c:pt>
                <c:pt idx="7">
                  <c:v>1.7687074829931933E-2</c:v>
                </c:pt>
                <c:pt idx="8">
                  <c:v>1.5374331550802216E-2</c:v>
                </c:pt>
                <c:pt idx="9">
                  <c:v>2.0408163265306083E-2</c:v>
                </c:pt>
                <c:pt idx="10">
                  <c:v>-9.6774193548387101E-3</c:v>
                </c:pt>
                <c:pt idx="11">
                  <c:v>-1.9543973941368076E-2</c:v>
                </c:pt>
              </c:numCache>
            </c:numRef>
          </c:val>
          <c:extLst>
            <c:ext xmlns:c16="http://schemas.microsoft.com/office/drawing/2014/chart" uri="{C3380CC4-5D6E-409C-BE32-E72D297353CC}">
              <c16:uniqueId val="{00000000-DFEF-489A-A961-F008F671993C}"/>
            </c:ext>
          </c:extLst>
        </c:ser>
        <c:ser>
          <c:idx val="1"/>
          <c:order val="1"/>
          <c:tx>
            <c:strRef>
              <c:f>'Analysis 4'!$D$32</c:f>
              <c:strCache>
                <c:ptCount val="1"/>
                <c:pt idx="0">
                  <c:v>Housing</c:v>
                </c:pt>
              </c:strCache>
            </c:strRef>
          </c:tx>
          <c:spPr>
            <a:solidFill>
              <a:schemeClr val="accent2"/>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4'!$D$33:$D$44</c:f>
              <c:numCache>
                <c:formatCode>0.0%</c:formatCode>
                <c:ptCount val="12"/>
                <c:pt idx="0">
                  <c:v>5.4163845633040716E-3</c:v>
                </c:pt>
                <c:pt idx="1">
                  <c:v>3.3670033670033669E-3</c:v>
                </c:pt>
                <c:pt idx="2">
                  <c:v>7.3825503355704316E-3</c:v>
                </c:pt>
                <c:pt idx="3">
                  <c:v>-4.663557628247759E-3</c:v>
                </c:pt>
                <c:pt idx="4">
                  <c:v>8.0321285140561478E-3</c:v>
                </c:pt>
                <c:pt idx="5">
                  <c:v>6.6401062416998674E-3</c:v>
                </c:pt>
                <c:pt idx="6">
                  <c:v>3.9577836411609129E-3</c:v>
                </c:pt>
                <c:pt idx="7">
                  <c:v>5.2562417871222823E-3</c:v>
                </c:pt>
                <c:pt idx="8">
                  <c:v>3.2679738562091504E-3</c:v>
                </c:pt>
                <c:pt idx="9">
                  <c:v>-4.5602605863191443E-3</c:v>
                </c:pt>
                <c:pt idx="10">
                  <c:v>7.1989528795811143E-3</c:v>
                </c:pt>
                <c:pt idx="11">
                  <c:v>5.847953216374306E-3</c:v>
                </c:pt>
              </c:numCache>
            </c:numRef>
          </c:val>
          <c:extLst>
            <c:ext xmlns:c16="http://schemas.microsoft.com/office/drawing/2014/chart" uri="{C3380CC4-5D6E-409C-BE32-E72D297353CC}">
              <c16:uniqueId val="{00000001-DFEF-489A-A961-F008F671993C}"/>
            </c:ext>
          </c:extLst>
        </c:ser>
        <c:ser>
          <c:idx val="2"/>
          <c:order val="2"/>
          <c:tx>
            <c:strRef>
              <c:f>'Analysis 4'!$E$32</c:f>
              <c:strCache>
                <c:ptCount val="1"/>
                <c:pt idx="0">
                  <c:v>Fuel and light</c:v>
                </c:pt>
              </c:strCache>
            </c:strRef>
          </c:tx>
          <c:spPr>
            <a:solidFill>
              <a:schemeClr val="accent3"/>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4'!$E$33:$E$44</c:f>
              <c:numCache>
                <c:formatCode>0.0%</c:formatCode>
                <c:ptCount val="12"/>
                <c:pt idx="0">
                  <c:v>-7.8853046594981671E-3</c:v>
                </c:pt>
                <c:pt idx="1">
                  <c:v>9.3930635838149045E-3</c:v>
                </c:pt>
                <c:pt idx="2">
                  <c:v>4.2949176807446157E-3</c:v>
                </c:pt>
                <c:pt idx="3">
                  <c:v>6.4148253741979841E-3</c:v>
                </c:pt>
                <c:pt idx="4">
                  <c:v>-1.3456090651557914E-2</c:v>
                </c:pt>
                <c:pt idx="5">
                  <c:v>-5.7430007178751706E-3</c:v>
                </c:pt>
                <c:pt idx="6">
                  <c:v>5.0541516245486548E-3</c:v>
                </c:pt>
                <c:pt idx="7">
                  <c:v>1.0057471264367858E-2</c:v>
                </c:pt>
                <c:pt idx="8">
                  <c:v>1.2091038406828002E-2</c:v>
                </c:pt>
                <c:pt idx="9">
                  <c:v>9.8383696416020888E-3</c:v>
                </c:pt>
                <c:pt idx="10">
                  <c:v>6.2630480167015015E-3</c:v>
                </c:pt>
                <c:pt idx="11">
                  <c:v>1.7980636237897609E-2</c:v>
                </c:pt>
              </c:numCache>
            </c:numRef>
          </c:val>
          <c:extLst>
            <c:ext xmlns:c16="http://schemas.microsoft.com/office/drawing/2014/chart" uri="{C3380CC4-5D6E-409C-BE32-E72D297353CC}">
              <c16:uniqueId val="{00000002-DFEF-489A-A961-F008F671993C}"/>
            </c:ext>
          </c:extLst>
        </c:ser>
        <c:ser>
          <c:idx val="3"/>
          <c:order val="3"/>
          <c:tx>
            <c:strRef>
              <c:f>'Analysis 4'!$F$32</c:f>
              <c:strCache>
                <c:ptCount val="1"/>
                <c:pt idx="0">
                  <c:v>Health</c:v>
                </c:pt>
              </c:strCache>
            </c:strRef>
          </c:tx>
          <c:spPr>
            <a:solidFill>
              <a:schemeClr val="accent4"/>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4'!$F$33:$F$44</c:f>
              <c:numCache>
                <c:formatCode>0.0%</c:formatCode>
                <c:ptCount val="12"/>
                <c:pt idx="0">
                  <c:v>3.4458993797381117E-3</c:v>
                </c:pt>
                <c:pt idx="1">
                  <c:v>4.120879120879082E-3</c:v>
                </c:pt>
                <c:pt idx="2">
                  <c:v>4.7879616963065466E-3</c:v>
                </c:pt>
                <c:pt idx="3">
                  <c:v>3.4036759700476512E-3</c:v>
                </c:pt>
                <c:pt idx="4">
                  <c:v>3.3921302578018993E-3</c:v>
                </c:pt>
                <c:pt idx="5">
                  <c:v>4.0567951318458036E-3</c:v>
                </c:pt>
                <c:pt idx="6">
                  <c:v>3.3670033670033669E-3</c:v>
                </c:pt>
                <c:pt idx="7">
                  <c:v>2.6845637583892998E-3</c:v>
                </c:pt>
                <c:pt idx="8">
                  <c:v>3.3467202141900937E-3</c:v>
                </c:pt>
                <c:pt idx="9">
                  <c:v>3.3355570380253501E-3</c:v>
                </c:pt>
                <c:pt idx="10">
                  <c:v>5.319148936170099E-3</c:v>
                </c:pt>
                <c:pt idx="11">
                  <c:v>3.3068783068783071E-3</c:v>
                </c:pt>
              </c:numCache>
            </c:numRef>
          </c:val>
          <c:extLst>
            <c:ext xmlns:c16="http://schemas.microsoft.com/office/drawing/2014/chart" uri="{C3380CC4-5D6E-409C-BE32-E72D297353CC}">
              <c16:uniqueId val="{00000003-DFEF-489A-A961-F008F671993C}"/>
            </c:ext>
          </c:extLst>
        </c:ser>
        <c:ser>
          <c:idx val="4"/>
          <c:order val="4"/>
          <c:tx>
            <c:strRef>
              <c:f>'Analysis 4'!$G$32</c:f>
              <c:strCache>
                <c:ptCount val="1"/>
                <c:pt idx="0">
                  <c:v>Transport and communication</c:v>
                </c:pt>
              </c:strCache>
            </c:strRef>
          </c:tx>
          <c:spPr>
            <a:solidFill>
              <a:schemeClr val="accent5"/>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4'!$G$33:$G$44</c:f>
              <c:numCache>
                <c:formatCode>0.0%</c:formatCode>
                <c:ptCount val="12"/>
                <c:pt idx="0">
                  <c:v>4.86618004866187E-3</c:v>
                </c:pt>
                <c:pt idx="1">
                  <c:v>5.6497175141242018E-3</c:v>
                </c:pt>
                <c:pt idx="2">
                  <c:v>2.4077046548957575E-3</c:v>
                </c:pt>
                <c:pt idx="3">
                  <c:v>-2.4019215372298747E-3</c:v>
                </c:pt>
                <c:pt idx="4">
                  <c:v>8.0256821829855548E-3</c:v>
                </c:pt>
                <c:pt idx="5">
                  <c:v>1.5923566878981118E-3</c:v>
                </c:pt>
                <c:pt idx="6">
                  <c:v>2.3847376788553032E-3</c:v>
                </c:pt>
                <c:pt idx="7">
                  <c:v>1.5860428231562478E-3</c:v>
                </c:pt>
                <c:pt idx="8">
                  <c:v>2.3752969121139918E-3</c:v>
                </c:pt>
                <c:pt idx="9">
                  <c:v>2.5276461295418776E-2</c:v>
                </c:pt>
                <c:pt idx="10">
                  <c:v>8.4745762711863955E-3</c:v>
                </c:pt>
                <c:pt idx="11">
                  <c:v>-4.583651642475128E-3</c:v>
                </c:pt>
              </c:numCache>
            </c:numRef>
          </c:val>
          <c:extLst>
            <c:ext xmlns:c16="http://schemas.microsoft.com/office/drawing/2014/chart" uri="{C3380CC4-5D6E-409C-BE32-E72D297353CC}">
              <c16:uniqueId val="{00000004-DFEF-489A-A961-F008F671993C}"/>
            </c:ext>
          </c:extLst>
        </c:ser>
        <c:ser>
          <c:idx val="5"/>
          <c:order val="5"/>
          <c:tx>
            <c:strRef>
              <c:f>'Analysis 4'!$H$32</c:f>
              <c:strCache>
                <c:ptCount val="1"/>
                <c:pt idx="0">
                  <c:v>Education</c:v>
                </c:pt>
              </c:strCache>
            </c:strRef>
          </c:tx>
          <c:spPr>
            <a:solidFill>
              <a:schemeClr val="accent6"/>
            </a:solidFill>
            <a:ln>
              <a:noFill/>
            </a:ln>
            <a:effectLst/>
          </c:spPr>
          <c:invertIfNegative val="0"/>
          <c:cat>
            <c:multiLvlStrRef>
              <c:f>'Analysis 4'!$A$33:$B$44</c:f>
              <c:multiLvlStrCache>
                <c:ptCount val="12"/>
                <c:lvl>
                  <c:pt idx="0">
                    <c:v>February</c:v>
                  </c:pt>
                  <c:pt idx="1">
                    <c:v>March</c:v>
                  </c:pt>
                  <c:pt idx="2">
                    <c:v>May</c:v>
                  </c:pt>
                  <c:pt idx="3">
                    <c:v>June</c:v>
                  </c:pt>
                  <c:pt idx="4">
                    <c:v>July</c:v>
                  </c:pt>
                  <c:pt idx="5">
                    <c:v>August</c:v>
                  </c:pt>
                  <c:pt idx="6">
                    <c:v>September</c:v>
                  </c:pt>
                  <c:pt idx="7">
                    <c:v>October</c:v>
                  </c:pt>
                  <c:pt idx="8">
                    <c:v>November</c:v>
                  </c:pt>
                  <c:pt idx="9">
                    <c:v>December</c:v>
                  </c:pt>
                  <c:pt idx="10">
                    <c:v>January</c:v>
                  </c:pt>
                  <c:pt idx="11">
                    <c:v>February</c:v>
                  </c:pt>
                </c:lvl>
                <c:lvl>
                  <c:pt idx="0">
                    <c:v>2019</c:v>
                  </c:pt>
                  <c:pt idx="1">
                    <c:v>2019</c:v>
                  </c:pt>
                  <c:pt idx="2">
                    <c:v>2019</c:v>
                  </c:pt>
                  <c:pt idx="3">
                    <c:v>2019</c:v>
                  </c:pt>
                  <c:pt idx="4">
                    <c:v>2019</c:v>
                  </c:pt>
                  <c:pt idx="5">
                    <c:v>2019</c:v>
                  </c:pt>
                  <c:pt idx="6">
                    <c:v>2019</c:v>
                  </c:pt>
                  <c:pt idx="7">
                    <c:v>2019</c:v>
                  </c:pt>
                  <c:pt idx="8">
                    <c:v>2019</c:v>
                  </c:pt>
                  <c:pt idx="9">
                    <c:v>2019</c:v>
                  </c:pt>
                  <c:pt idx="10">
                    <c:v>2020</c:v>
                  </c:pt>
                  <c:pt idx="11">
                    <c:v>2020</c:v>
                  </c:pt>
                </c:lvl>
              </c:multiLvlStrCache>
            </c:multiLvlStrRef>
          </c:cat>
          <c:val>
            <c:numRef>
              <c:f>'Analysis 4'!$H$33:$H$44</c:f>
              <c:numCache>
                <c:formatCode>0.0%</c:formatCode>
                <c:ptCount val="12"/>
                <c:pt idx="0">
                  <c:v>6.6577896138497164E-4</c:v>
                </c:pt>
                <c:pt idx="1">
                  <c:v>0</c:v>
                </c:pt>
                <c:pt idx="2">
                  <c:v>8.6493679308049416E-3</c:v>
                </c:pt>
                <c:pt idx="3">
                  <c:v>5.9366754617414625E-3</c:v>
                </c:pt>
                <c:pt idx="4">
                  <c:v>9.8360655737704927E-3</c:v>
                </c:pt>
                <c:pt idx="5">
                  <c:v>5.8441558441558808E-3</c:v>
                </c:pt>
                <c:pt idx="6">
                  <c:v>1.9367333763717427E-3</c:v>
                </c:pt>
                <c:pt idx="7">
                  <c:v>1.2886597938145429E-3</c:v>
                </c:pt>
                <c:pt idx="8">
                  <c:v>6.4350064350060694E-4</c:v>
                </c:pt>
                <c:pt idx="9">
                  <c:v>1.2861736334404414E-3</c:v>
                </c:pt>
                <c:pt idx="10">
                  <c:v>2.5690430314708138E-3</c:v>
                </c:pt>
                <c:pt idx="11">
                  <c:v>6.4061499039073878E-4</c:v>
                </c:pt>
              </c:numCache>
            </c:numRef>
          </c:val>
          <c:extLst>
            <c:ext xmlns:c16="http://schemas.microsoft.com/office/drawing/2014/chart" uri="{C3380CC4-5D6E-409C-BE32-E72D297353CC}">
              <c16:uniqueId val="{00000005-DFEF-489A-A961-F008F671993C}"/>
            </c:ext>
          </c:extLst>
        </c:ser>
        <c:dLbls>
          <c:showLegendKey val="0"/>
          <c:showVal val="0"/>
          <c:showCatName val="0"/>
          <c:showSerName val="0"/>
          <c:showPercent val="0"/>
          <c:showBubbleSize val="0"/>
        </c:dLbls>
        <c:gapWidth val="150"/>
        <c:overlap val="100"/>
        <c:axId val="894941504"/>
        <c:axId val="894949664"/>
      </c:barChart>
      <c:catAx>
        <c:axId val="89494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49664"/>
        <c:crosses val="autoZero"/>
        <c:auto val="1"/>
        <c:lblAlgn val="ctr"/>
        <c:lblOffset val="100"/>
        <c:noMultiLvlLbl val="0"/>
      </c:catAx>
      <c:valAx>
        <c:axId val="89494966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41504"/>
        <c:crosses val="autoZero"/>
        <c:crossBetween val="between"/>
      </c:valAx>
      <c:spPr>
        <a:noFill/>
        <a:ln>
          <a:noFill/>
        </a:ln>
        <a:effectLst/>
      </c:spPr>
    </c:plotArea>
    <c:legend>
      <c:legendPos val="b"/>
      <c:layout>
        <c:manualLayout>
          <c:xMode val="edge"/>
          <c:yMode val="edge"/>
          <c:x val="8.1485214348206492E-2"/>
          <c:y val="0.77720927741175205"/>
          <c:w val="0.83702929133858273"/>
          <c:h val="0.222790722588247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Inflation</a:t>
            </a:r>
            <a:r>
              <a:rPr lang="en-GB" baseline="0"/>
              <a:t> After March 2020</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 4'!$C$49</c:f>
              <c:strCache>
                <c:ptCount val="1"/>
                <c:pt idx="0">
                  <c:v>Food and beverages</c:v>
                </c:pt>
              </c:strCache>
            </c:strRef>
          </c:tx>
          <c:spPr>
            <a:solidFill>
              <a:schemeClr val="accent1"/>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4'!$C$50:$C$59</c:f>
              <c:numCache>
                <c:formatCode>0.0%</c:formatCode>
                <c:ptCount val="10"/>
                <c:pt idx="0">
                  <c:v>-1.0631229235880361E-2</c:v>
                </c:pt>
                <c:pt idx="1">
                  <c:v>1.6789791806581598E-2</c:v>
                </c:pt>
                <c:pt idx="2">
                  <c:v>8.5865257595771662E-3</c:v>
                </c:pt>
                <c:pt idx="3">
                  <c:v>8.5134250163720459E-3</c:v>
                </c:pt>
                <c:pt idx="4">
                  <c:v>0</c:v>
                </c:pt>
                <c:pt idx="5">
                  <c:v>1.948051948051948E-2</c:v>
                </c:pt>
                <c:pt idx="6">
                  <c:v>6.369426751592357E-3</c:v>
                </c:pt>
                <c:pt idx="7">
                  <c:v>2.1518987341772187E-2</c:v>
                </c:pt>
                <c:pt idx="8">
                  <c:v>2.0446096654274985E-2</c:v>
                </c:pt>
                <c:pt idx="9">
                  <c:v>4.2501517911355015E-3</c:v>
                </c:pt>
              </c:numCache>
            </c:numRef>
          </c:val>
          <c:extLst>
            <c:ext xmlns:c16="http://schemas.microsoft.com/office/drawing/2014/chart" uri="{C3380CC4-5D6E-409C-BE32-E72D297353CC}">
              <c16:uniqueId val="{00000000-2DBD-420E-93E9-E07B6EA2F479}"/>
            </c:ext>
          </c:extLst>
        </c:ser>
        <c:ser>
          <c:idx val="1"/>
          <c:order val="1"/>
          <c:tx>
            <c:strRef>
              <c:f>'Analysis 4'!$D$49</c:f>
              <c:strCache>
                <c:ptCount val="1"/>
                <c:pt idx="0">
                  <c:v>Housing</c:v>
                </c:pt>
              </c:strCache>
            </c:strRef>
          </c:tx>
          <c:spPr>
            <a:solidFill>
              <a:schemeClr val="accent2"/>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4'!$D$50:$D$59</c:f>
              <c:numCache>
                <c:formatCode>0.0%</c:formatCode>
                <c:ptCount val="10"/>
                <c:pt idx="0">
                  <c:v>-1.9379844961241043E-3</c:v>
                </c:pt>
                <c:pt idx="1">
                  <c:v>7.1197411003235877E-3</c:v>
                </c:pt>
                <c:pt idx="2">
                  <c:v>-2.8920308483291585E-3</c:v>
                </c:pt>
                <c:pt idx="3">
                  <c:v>-2.9004189494037298E-3</c:v>
                </c:pt>
                <c:pt idx="4">
                  <c:v>0</c:v>
                </c:pt>
                <c:pt idx="5">
                  <c:v>5.1712992889464213E-3</c:v>
                </c:pt>
                <c:pt idx="6">
                  <c:v>5.1446945337621309E-3</c:v>
                </c:pt>
                <c:pt idx="7">
                  <c:v>1.2795905310299975E-3</c:v>
                </c:pt>
                <c:pt idx="8">
                  <c:v>9.5846645367412137E-3</c:v>
                </c:pt>
                <c:pt idx="9">
                  <c:v>2.5316455696202892E-3</c:v>
                </c:pt>
              </c:numCache>
            </c:numRef>
          </c:val>
          <c:extLst>
            <c:ext xmlns:c16="http://schemas.microsoft.com/office/drawing/2014/chart" uri="{C3380CC4-5D6E-409C-BE32-E72D297353CC}">
              <c16:uniqueId val="{00000001-2DBD-420E-93E9-E07B6EA2F479}"/>
            </c:ext>
          </c:extLst>
        </c:ser>
        <c:ser>
          <c:idx val="2"/>
          <c:order val="2"/>
          <c:tx>
            <c:strRef>
              <c:f>'Analysis 4'!$E$49</c:f>
              <c:strCache>
                <c:ptCount val="1"/>
                <c:pt idx="0">
                  <c:v>Fuel and light</c:v>
                </c:pt>
              </c:strCache>
            </c:strRef>
          </c:tx>
          <c:spPr>
            <a:solidFill>
              <a:schemeClr val="accent3"/>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4'!$E$50:$E$59</c:f>
              <c:numCache>
                <c:formatCode>0.0%</c:formatCode>
                <c:ptCount val="10"/>
                <c:pt idx="0">
                  <c:v>1.1548913043478378E-2</c:v>
                </c:pt>
                <c:pt idx="1">
                  <c:v>-3.2236400268636743E-2</c:v>
                </c:pt>
                <c:pt idx="2">
                  <c:v>-7.6335877862595027E-3</c:v>
                </c:pt>
                <c:pt idx="3">
                  <c:v>-7.6923076923076528E-3</c:v>
                </c:pt>
                <c:pt idx="4">
                  <c:v>0</c:v>
                </c:pt>
                <c:pt idx="5">
                  <c:v>7.751937984496084E-3</c:v>
                </c:pt>
                <c:pt idx="6">
                  <c:v>-6.9930069930065951E-4</c:v>
                </c:pt>
                <c:pt idx="7">
                  <c:v>1.3995801259621317E-3</c:v>
                </c:pt>
                <c:pt idx="8">
                  <c:v>3.4940600978336828E-3</c:v>
                </c:pt>
                <c:pt idx="9">
                  <c:v>6.9637883008356553E-3</c:v>
                </c:pt>
              </c:numCache>
            </c:numRef>
          </c:val>
          <c:extLst>
            <c:ext xmlns:c16="http://schemas.microsoft.com/office/drawing/2014/chart" uri="{C3380CC4-5D6E-409C-BE32-E72D297353CC}">
              <c16:uniqueId val="{00000002-2DBD-420E-93E9-E07B6EA2F479}"/>
            </c:ext>
          </c:extLst>
        </c:ser>
        <c:ser>
          <c:idx val="3"/>
          <c:order val="3"/>
          <c:tx>
            <c:strRef>
              <c:f>'Analysis 4'!$F$49</c:f>
              <c:strCache>
                <c:ptCount val="1"/>
                <c:pt idx="0">
                  <c:v>Health</c:v>
                </c:pt>
              </c:strCache>
            </c:strRef>
          </c:tx>
          <c:spPr>
            <a:solidFill>
              <a:schemeClr val="accent4"/>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4'!$F$50:$F$59</c:f>
              <c:numCache>
                <c:formatCode>0.0%</c:formatCode>
                <c:ptCount val="10"/>
                <c:pt idx="0">
                  <c:v>3.9551746868821541E-3</c:v>
                </c:pt>
                <c:pt idx="1">
                  <c:v>-1.0505581089954186E-2</c:v>
                </c:pt>
                <c:pt idx="2">
                  <c:v>1.2276045122760603E-2</c:v>
                </c:pt>
                <c:pt idx="3">
                  <c:v>1.2127171419206779E-2</c:v>
                </c:pt>
                <c:pt idx="4">
                  <c:v>0</c:v>
                </c:pt>
                <c:pt idx="5">
                  <c:v>3.8860103626942636E-3</c:v>
                </c:pt>
                <c:pt idx="6">
                  <c:v>3.870967741935447E-3</c:v>
                </c:pt>
                <c:pt idx="7">
                  <c:v>4.4987146529564077E-3</c:v>
                </c:pt>
                <c:pt idx="8">
                  <c:v>5.7581573896351712E-3</c:v>
                </c:pt>
                <c:pt idx="9">
                  <c:v>6.9974554707380584E-3</c:v>
                </c:pt>
              </c:numCache>
            </c:numRef>
          </c:val>
          <c:extLst>
            <c:ext xmlns:c16="http://schemas.microsoft.com/office/drawing/2014/chart" uri="{C3380CC4-5D6E-409C-BE32-E72D297353CC}">
              <c16:uniqueId val="{00000003-2DBD-420E-93E9-E07B6EA2F479}"/>
            </c:ext>
          </c:extLst>
        </c:ser>
        <c:ser>
          <c:idx val="4"/>
          <c:order val="4"/>
          <c:tx>
            <c:strRef>
              <c:f>'Analysis 4'!$G$49</c:f>
              <c:strCache>
                <c:ptCount val="1"/>
                <c:pt idx="0">
                  <c:v>Transport and communication</c:v>
                </c:pt>
              </c:strCache>
            </c:strRef>
          </c:tx>
          <c:spPr>
            <a:solidFill>
              <a:schemeClr val="accent5"/>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4'!$G$50:$G$59</c:f>
              <c:numCache>
                <c:formatCode>0.0%</c:formatCode>
                <c:ptCount val="10"/>
                <c:pt idx="0">
                  <c:v>-3.0698388334612866E-3</c:v>
                </c:pt>
                <c:pt idx="1">
                  <c:v>0</c:v>
                </c:pt>
                <c:pt idx="2">
                  <c:v>1.9630484988452525E-2</c:v>
                </c:pt>
                <c:pt idx="3">
                  <c:v>1.9252548131370416E-2</c:v>
                </c:pt>
                <c:pt idx="4">
                  <c:v>0</c:v>
                </c:pt>
                <c:pt idx="5">
                  <c:v>2.5925925925925925E-2</c:v>
                </c:pt>
                <c:pt idx="6">
                  <c:v>7.9422382671479729E-3</c:v>
                </c:pt>
                <c:pt idx="7">
                  <c:v>7.1633237822349575E-3</c:v>
                </c:pt>
                <c:pt idx="8">
                  <c:v>-1.4224751066855522E-3</c:v>
                </c:pt>
                <c:pt idx="9">
                  <c:v>2.1367521367520151E-3</c:v>
                </c:pt>
              </c:numCache>
            </c:numRef>
          </c:val>
          <c:extLst>
            <c:ext xmlns:c16="http://schemas.microsoft.com/office/drawing/2014/chart" uri="{C3380CC4-5D6E-409C-BE32-E72D297353CC}">
              <c16:uniqueId val="{00000004-2DBD-420E-93E9-E07B6EA2F479}"/>
            </c:ext>
          </c:extLst>
        </c:ser>
        <c:ser>
          <c:idx val="5"/>
          <c:order val="5"/>
          <c:tx>
            <c:strRef>
              <c:f>'Analysis 4'!$H$49</c:f>
              <c:strCache>
                <c:ptCount val="1"/>
                <c:pt idx="0">
                  <c:v>Education</c:v>
                </c:pt>
              </c:strCache>
            </c:strRef>
          </c:tx>
          <c:spPr>
            <a:solidFill>
              <a:schemeClr val="accent6"/>
            </a:solidFill>
            <a:ln>
              <a:noFill/>
            </a:ln>
            <a:effectLst/>
          </c:spPr>
          <c:invertIfNegative val="0"/>
          <c:cat>
            <c:multiLvlStrRef>
              <c:f>'Analysis 4'!$A$50:$B$59</c:f>
              <c:multiLvlStrCache>
                <c:ptCount val="10"/>
                <c:lvl>
                  <c:pt idx="0">
                    <c:v>March</c:v>
                  </c:pt>
                  <c:pt idx="1">
                    <c:v>April</c:v>
                  </c:pt>
                  <c:pt idx="2">
                    <c:v>May</c:v>
                  </c:pt>
                  <c:pt idx="3">
                    <c:v>June</c:v>
                  </c:pt>
                  <c:pt idx="4">
                    <c:v>July</c:v>
                  </c:pt>
                  <c:pt idx="5">
                    <c:v>August</c:v>
                  </c:pt>
                  <c:pt idx="6">
                    <c:v>September</c:v>
                  </c:pt>
                  <c:pt idx="7">
                    <c:v>October</c:v>
                  </c:pt>
                  <c:pt idx="8">
                    <c:v>November</c:v>
                  </c:pt>
                  <c:pt idx="9">
                    <c:v>December</c:v>
                  </c:pt>
                </c:lvl>
                <c:lvl>
                  <c:pt idx="0">
                    <c:v>2020</c:v>
                  </c:pt>
                  <c:pt idx="1">
                    <c:v>2020</c:v>
                  </c:pt>
                  <c:pt idx="2">
                    <c:v>2020</c:v>
                  </c:pt>
                  <c:pt idx="3">
                    <c:v>2020</c:v>
                  </c:pt>
                  <c:pt idx="4">
                    <c:v>2020</c:v>
                  </c:pt>
                  <c:pt idx="5">
                    <c:v>2020</c:v>
                  </c:pt>
                  <c:pt idx="6">
                    <c:v>2020</c:v>
                  </c:pt>
                  <c:pt idx="7">
                    <c:v>2020</c:v>
                  </c:pt>
                  <c:pt idx="8">
                    <c:v>2020</c:v>
                  </c:pt>
                  <c:pt idx="9">
                    <c:v>2020</c:v>
                  </c:pt>
                </c:lvl>
              </c:multiLvlStrCache>
            </c:multiLvlStrRef>
          </c:cat>
          <c:val>
            <c:numRef>
              <c:f>'Analysis 4'!$H$50:$H$59</c:f>
              <c:numCache>
                <c:formatCode>0.0%</c:formatCode>
                <c:ptCount val="10"/>
                <c:pt idx="0">
                  <c:v>-6.4020486555694189E-4</c:v>
                </c:pt>
                <c:pt idx="1">
                  <c:v>0</c:v>
                </c:pt>
                <c:pt idx="2">
                  <c:v>9.6092248558619919E-4</c:v>
                </c:pt>
                <c:pt idx="3">
                  <c:v>9.6000000000003635E-4</c:v>
                </c:pt>
                <c:pt idx="4">
                  <c:v>0</c:v>
                </c:pt>
                <c:pt idx="5">
                  <c:v>1.3427109974424516E-2</c:v>
                </c:pt>
                <c:pt idx="6">
                  <c:v>-6.3091482649842269E-3</c:v>
                </c:pt>
                <c:pt idx="7">
                  <c:v>6.3492063492063492E-3</c:v>
                </c:pt>
                <c:pt idx="8">
                  <c:v>6.3091482649838687E-4</c:v>
                </c:pt>
                <c:pt idx="9">
                  <c:v>5.0441361916772473E-3</c:v>
                </c:pt>
              </c:numCache>
            </c:numRef>
          </c:val>
          <c:extLst>
            <c:ext xmlns:c16="http://schemas.microsoft.com/office/drawing/2014/chart" uri="{C3380CC4-5D6E-409C-BE32-E72D297353CC}">
              <c16:uniqueId val="{00000005-2DBD-420E-93E9-E07B6EA2F479}"/>
            </c:ext>
          </c:extLst>
        </c:ser>
        <c:dLbls>
          <c:showLegendKey val="0"/>
          <c:showVal val="0"/>
          <c:showCatName val="0"/>
          <c:showSerName val="0"/>
          <c:showPercent val="0"/>
          <c:showBubbleSize val="0"/>
        </c:dLbls>
        <c:gapWidth val="150"/>
        <c:overlap val="100"/>
        <c:axId val="894978464"/>
        <c:axId val="894979904"/>
      </c:barChart>
      <c:catAx>
        <c:axId val="89497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79904"/>
        <c:crosses val="autoZero"/>
        <c:auto val="1"/>
        <c:lblAlgn val="ctr"/>
        <c:lblOffset val="100"/>
        <c:noMultiLvlLbl val="0"/>
      </c:catAx>
      <c:valAx>
        <c:axId val="89497990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978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Inflation Before &amp; After 2020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'Analysis 4'!$D$64</c:f>
              <c:strCache>
                <c:ptCount val="1"/>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4'!$D$65:$D$70</c:f>
              <c:numCache>
                <c:formatCode>General</c:formatCode>
                <c:ptCount val="6"/>
              </c:numCache>
            </c:numRef>
          </c:val>
          <c:extLst>
            <c:ext xmlns:c16="http://schemas.microsoft.com/office/drawing/2014/chart" uri="{C3380CC4-5D6E-409C-BE32-E72D297353CC}">
              <c16:uniqueId val="{00000000-585A-41FE-848F-DD02FD1679B6}"/>
            </c:ext>
          </c:extLst>
        </c:ser>
        <c:ser>
          <c:idx val="1"/>
          <c:order val="1"/>
          <c:tx>
            <c:strRef>
              <c:f>'Analysis 4'!$E$64</c:f>
              <c:strCache>
                <c:ptCount val="1"/>
                <c:pt idx="0">
                  <c:v>Before March 2020</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4'!$E$65:$E$70</c:f>
              <c:numCache>
                <c:formatCode>0.0%</c:formatCode>
                <c:ptCount val="6"/>
                <c:pt idx="0">
                  <c:v>9.1999999999999998E-2</c:v>
                </c:pt>
                <c:pt idx="1">
                  <c:v>4.7E-2</c:v>
                </c:pt>
                <c:pt idx="2">
                  <c:v>5.3999999999999999E-2</c:v>
                </c:pt>
                <c:pt idx="3">
                  <c:v>4.4999999999999998E-2</c:v>
                </c:pt>
                <c:pt idx="4">
                  <c:v>5.6000000000000001E-2</c:v>
                </c:pt>
                <c:pt idx="5">
                  <c:v>3.9E-2</c:v>
                </c:pt>
              </c:numCache>
            </c:numRef>
          </c:val>
          <c:extLst>
            <c:ext xmlns:c16="http://schemas.microsoft.com/office/drawing/2014/chart" uri="{C3380CC4-5D6E-409C-BE32-E72D297353CC}">
              <c16:uniqueId val="{00000001-585A-41FE-848F-DD02FD1679B6}"/>
            </c:ext>
          </c:extLst>
        </c:ser>
        <c:dLbls>
          <c:showLegendKey val="0"/>
          <c:showVal val="0"/>
          <c:showCatName val="0"/>
          <c:showSerName val="0"/>
          <c:showPercent val="0"/>
          <c:showBubbleSize val="0"/>
        </c:dLbls>
        <c:gapWidth val="150"/>
        <c:axId val="895194464"/>
        <c:axId val="895199264"/>
      </c:barChart>
      <c:lineChart>
        <c:grouping val="standard"/>
        <c:varyColors val="0"/>
        <c:ser>
          <c:idx val="2"/>
          <c:order val="2"/>
          <c:tx>
            <c:strRef>
              <c:f>'Analysis 4'!$F$64</c:f>
              <c:strCache>
                <c:ptCount val="1"/>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4'!$F$65:$F$70</c:f>
              <c:numCache>
                <c:formatCode>0.0%</c:formatCode>
                <c:ptCount val="6"/>
              </c:numCache>
            </c:numRef>
          </c:val>
          <c:smooth val="0"/>
          <c:extLst>
            <c:ext xmlns:c16="http://schemas.microsoft.com/office/drawing/2014/chart" uri="{C3380CC4-5D6E-409C-BE32-E72D297353CC}">
              <c16:uniqueId val="{00000002-585A-41FE-848F-DD02FD1679B6}"/>
            </c:ext>
          </c:extLst>
        </c:ser>
        <c:ser>
          <c:idx val="3"/>
          <c:order val="3"/>
          <c:tx>
            <c:strRef>
              <c:f>'Analysis 4'!$G$64</c:f>
              <c:strCache>
                <c:ptCount val="1"/>
                <c:pt idx="0">
                  <c:v>After March 2020</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strRef>
              <c:f>'Analysis 4'!$C$65:$C$70</c:f>
              <c:strCache>
                <c:ptCount val="6"/>
                <c:pt idx="0">
                  <c:v>Food and beverages</c:v>
                </c:pt>
                <c:pt idx="1">
                  <c:v>Housing</c:v>
                </c:pt>
                <c:pt idx="2">
                  <c:v>Fuel and light</c:v>
                </c:pt>
                <c:pt idx="3">
                  <c:v>Health</c:v>
                </c:pt>
                <c:pt idx="4">
                  <c:v>Transport and communication</c:v>
                </c:pt>
                <c:pt idx="5">
                  <c:v>Education</c:v>
                </c:pt>
              </c:strCache>
            </c:strRef>
          </c:cat>
          <c:val>
            <c:numRef>
              <c:f>'Analysis 4'!$G$65:$G$70</c:f>
              <c:numCache>
                <c:formatCode>0.0%</c:formatCode>
                <c:ptCount val="6"/>
                <c:pt idx="0">
                  <c:v>9.5000000000000001E-2</c:v>
                </c:pt>
                <c:pt idx="1">
                  <c:v>2.3E-2</c:v>
                </c:pt>
                <c:pt idx="2">
                  <c:v>-1.7000000000000001E-2</c:v>
                </c:pt>
                <c:pt idx="3">
                  <c:v>4.2999999999999997E-2</c:v>
                </c:pt>
                <c:pt idx="4">
                  <c:v>7.8E-2</c:v>
                </c:pt>
                <c:pt idx="5">
                  <c:v>0.02</c:v>
                </c:pt>
              </c:numCache>
            </c:numRef>
          </c:val>
          <c:smooth val="0"/>
          <c:extLst>
            <c:ext xmlns:c16="http://schemas.microsoft.com/office/drawing/2014/chart" uri="{C3380CC4-5D6E-409C-BE32-E72D297353CC}">
              <c16:uniqueId val="{00000003-585A-41FE-848F-DD02FD1679B6}"/>
            </c:ext>
          </c:extLst>
        </c:ser>
        <c:dLbls>
          <c:showLegendKey val="0"/>
          <c:showVal val="0"/>
          <c:showCatName val="0"/>
          <c:showSerName val="0"/>
          <c:showPercent val="0"/>
          <c:showBubbleSize val="0"/>
        </c:dLbls>
        <c:marker val="1"/>
        <c:smooth val="0"/>
        <c:axId val="965051568"/>
        <c:axId val="965042928"/>
      </c:lineChart>
      <c:catAx>
        <c:axId val="8951944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95199264"/>
        <c:crosses val="autoZero"/>
        <c:auto val="1"/>
        <c:lblAlgn val="ctr"/>
        <c:lblOffset val="100"/>
        <c:noMultiLvlLbl val="0"/>
      </c:catAx>
      <c:valAx>
        <c:axId val="8951992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95194464"/>
        <c:crosses val="autoZero"/>
        <c:crossBetween val="between"/>
      </c:valAx>
      <c:valAx>
        <c:axId val="965042928"/>
        <c:scaling>
          <c:orientation val="minMax"/>
        </c:scaling>
        <c:delete val="0"/>
        <c:axPos val="r"/>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5051568"/>
        <c:crosses val="max"/>
        <c:crossBetween val="between"/>
      </c:valAx>
      <c:catAx>
        <c:axId val="965051568"/>
        <c:scaling>
          <c:orientation val="minMax"/>
        </c:scaling>
        <c:delete val="1"/>
        <c:axPos val="b"/>
        <c:numFmt formatCode="General" sourceLinked="1"/>
        <c:majorTickMark val="none"/>
        <c:minorTickMark val="none"/>
        <c:tickLblPos val="nextTo"/>
        <c:crossAx val="965042928"/>
        <c:crosses val="autoZero"/>
        <c:auto val="1"/>
        <c:lblAlgn val="ctr"/>
        <c:lblOffset val="100"/>
        <c:noMultiLvlLbl val="0"/>
      </c:catAx>
      <c:spPr>
        <a:noFill/>
        <a:ln>
          <a:noFill/>
        </a:ln>
        <a:effectLst/>
      </c:spPr>
    </c:plotArea>
    <c:legend>
      <c:legendPos val="b"/>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Crude</a:t>
            </a:r>
            <a:r>
              <a:rPr lang="en-GB" b="1" baseline="0"/>
              <a:t> Oil vs Food and Beverages</a:t>
            </a:r>
            <a:endParaRPr lang="en-GB"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5'!$C$69</c:f>
              <c:strCache>
                <c:ptCount val="1"/>
                <c:pt idx="0">
                  <c:v>Crude Oil</c:v>
                </c:pt>
              </c:strCache>
            </c:strRef>
          </c:tx>
          <c:spPr>
            <a:ln w="28575" cap="rnd">
              <a:solidFill>
                <a:schemeClr val="accent1"/>
              </a:solidFill>
              <a:round/>
            </a:ln>
            <a:effectLst/>
          </c:spPr>
          <c:marker>
            <c:symbol val="none"/>
          </c:marker>
          <c:cat>
            <c:multiLvlStrRef>
              <c:f>'Analysis 5'!$A$70:$B$98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5'!$C$70:$C$98</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ED27-4D82-B4A9-6416DB7A8E1B}"/>
            </c:ext>
          </c:extLst>
        </c:ser>
        <c:ser>
          <c:idx val="1"/>
          <c:order val="1"/>
          <c:tx>
            <c:strRef>
              <c:f>'Analysis 5'!$D$69</c:f>
              <c:strCache>
                <c:ptCount val="1"/>
                <c:pt idx="0">
                  <c:v>Food and beverages</c:v>
                </c:pt>
              </c:strCache>
            </c:strRef>
          </c:tx>
          <c:spPr>
            <a:ln w="28575" cap="rnd">
              <a:solidFill>
                <a:schemeClr val="accent2"/>
              </a:solidFill>
              <a:round/>
            </a:ln>
            <a:effectLst/>
          </c:spPr>
          <c:marker>
            <c:symbol val="none"/>
          </c:marker>
          <c:cat>
            <c:multiLvlStrRef>
              <c:f>'Analysis 5'!$A$70:$B$98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5'!$D$70:$D$98</c:f>
              <c:numCache>
                <c:formatCode>0.0%</c:formatCode>
                <c:ptCount val="29"/>
                <c:pt idx="0">
                  <c:v>0</c:v>
                </c:pt>
                <c:pt idx="1">
                  <c:v>-2.5465838509316736E-2</c:v>
                </c:pt>
                <c:pt idx="2">
                  <c:v>-1.2746972594010009E-3</c:v>
                </c:pt>
                <c:pt idx="3">
                  <c:v>8.2961072112317253E-3</c:v>
                </c:pt>
                <c:pt idx="4">
                  <c:v>1.7088607594936637E-2</c:v>
                </c:pt>
                <c:pt idx="5">
                  <c:v>1.1823273179838244E-2</c:v>
                </c:pt>
                <c:pt idx="6">
                  <c:v>8.6100861008610446E-3</c:v>
                </c:pt>
                <c:pt idx="7">
                  <c:v>0</c:v>
                </c:pt>
                <c:pt idx="8">
                  <c:v>0</c:v>
                </c:pt>
                <c:pt idx="9">
                  <c:v>2.2560975609756027E-2</c:v>
                </c:pt>
                <c:pt idx="10">
                  <c:v>1.1926058437686345E-2</c:v>
                </c:pt>
                <c:pt idx="11">
                  <c:v>-8.8391278727165592E-3</c:v>
                </c:pt>
                <c:pt idx="12">
                  <c:v>-1.070154577883462E-2</c:v>
                </c:pt>
                <c:pt idx="13">
                  <c:v>-1.2019230769231793E-3</c:v>
                </c:pt>
                <c:pt idx="14">
                  <c:v>1.3237063778580128E-2</c:v>
                </c:pt>
                <c:pt idx="15">
                  <c:v>1.4251781472684119E-2</c:v>
                </c:pt>
                <c:pt idx="16">
                  <c:v>1.4637002341920374E-2</c:v>
                </c:pt>
                <c:pt idx="17">
                  <c:v>9.2325447201384546E-3</c:v>
                </c:pt>
                <c:pt idx="18">
                  <c:v>5.7175528873638828E-4</c:v>
                </c:pt>
                <c:pt idx="19">
                  <c:v>7.4285714285714935E-3</c:v>
                </c:pt>
                <c:pt idx="20">
                  <c:v>8.5082246171298923E-3</c:v>
                </c:pt>
                <c:pt idx="21">
                  <c:v>1.0123734533183255E-2</c:v>
                </c:pt>
                <c:pt idx="22">
                  <c:v>-7.2383073496658295E-3</c:v>
                </c:pt>
                <c:pt idx="23">
                  <c:v>-1.3460459899046581E-2</c:v>
                </c:pt>
                <c:pt idx="24">
                  <c:v>4.5480386583284984E-3</c:v>
                </c:pt>
                <c:pt idx="25">
                  <c:v>1.6977928692700134E-3</c:v>
                </c:pt>
                <c:pt idx="26">
                  <c:v>0</c:v>
                </c:pt>
                <c:pt idx="27">
                  <c:v>5.0847457627118961E-3</c:v>
                </c:pt>
                <c:pt idx="28">
                  <c:v>6.7453625632377095E-3</c:v>
                </c:pt>
              </c:numCache>
            </c:numRef>
          </c:val>
          <c:smooth val="0"/>
          <c:extLst>
            <c:ext xmlns:c16="http://schemas.microsoft.com/office/drawing/2014/chart" uri="{C3380CC4-5D6E-409C-BE32-E72D297353CC}">
              <c16:uniqueId val="{00000001-ED27-4D82-B4A9-6416DB7A8E1B}"/>
            </c:ext>
          </c:extLst>
        </c:ser>
        <c:dLbls>
          <c:showLegendKey val="0"/>
          <c:showVal val="0"/>
          <c:showCatName val="0"/>
          <c:showSerName val="0"/>
          <c:showPercent val="0"/>
          <c:showBubbleSize val="0"/>
        </c:dLbls>
        <c:smooth val="0"/>
        <c:axId val="52575407"/>
        <c:axId val="52575887"/>
      </c:lineChart>
      <c:catAx>
        <c:axId val="5257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75887"/>
        <c:crosses val="autoZero"/>
        <c:auto val="1"/>
        <c:lblAlgn val="ctr"/>
        <c:lblOffset val="100"/>
        <c:noMultiLvlLbl val="0"/>
      </c:catAx>
      <c:valAx>
        <c:axId val="525758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575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a:t>Crude Oil vs Fuel and light</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'Analysis 5'!$K$69</c:f>
              <c:strCache>
                <c:ptCount val="1"/>
                <c:pt idx="0">
                  <c:v>Crude Oil</c:v>
                </c:pt>
              </c:strCache>
            </c:strRef>
          </c:tx>
          <c:spPr>
            <a:ln w="22225" cap="rnd" cmpd="sng" algn="ctr">
              <a:solidFill>
                <a:schemeClr val="accent1"/>
              </a:solidFill>
              <a:round/>
            </a:ln>
            <a:effectLst/>
          </c:spPr>
          <c:marker>
            <c:symbol val="none"/>
          </c:marker>
          <c:cat>
            <c:multiLvlStrRef>
              <c:f>'Analysis 5'!$I$70:$J$98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5'!$K$70:$K$98</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EDD3-410F-965E-362F4AE8128A}"/>
            </c:ext>
          </c:extLst>
        </c:ser>
        <c:ser>
          <c:idx val="1"/>
          <c:order val="1"/>
          <c:tx>
            <c:strRef>
              <c:f>'Analysis 5'!$L$69</c:f>
              <c:strCache>
                <c:ptCount val="1"/>
                <c:pt idx="0">
                  <c:v>Fuel and light</c:v>
                </c:pt>
              </c:strCache>
            </c:strRef>
          </c:tx>
          <c:spPr>
            <a:ln w="22225" cap="rnd" cmpd="sng" algn="ctr">
              <a:solidFill>
                <a:schemeClr val="accent3"/>
              </a:solidFill>
              <a:round/>
            </a:ln>
            <a:effectLst/>
          </c:spPr>
          <c:marker>
            <c:symbol val="none"/>
          </c:marker>
          <c:cat>
            <c:multiLvlStrRef>
              <c:f>'Analysis 5'!$I$70:$J$98</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5'!$L$70:$L$98</c:f>
              <c:numCache>
                <c:formatCode>0.0%</c:formatCode>
                <c:ptCount val="29"/>
                <c:pt idx="0">
                  <c:v>0</c:v>
                </c:pt>
                <c:pt idx="1">
                  <c:v>3.0425963488843813E-2</c:v>
                </c:pt>
                <c:pt idx="2">
                  <c:v>2.0341207349081326E-2</c:v>
                </c:pt>
                <c:pt idx="3">
                  <c:v>6.4308681672022071E-4</c:v>
                </c:pt>
                <c:pt idx="4">
                  <c:v>2.4421593830334265E-2</c:v>
                </c:pt>
                <c:pt idx="5">
                  <c:v>2.5094102885822186E-3</c:v>
                </c:pt>
                <c:pt idx="6">
                  <c:v>5.6320400500624356E-3</c:v>
                </c:pt>
                <c:pt idx="7">
                  <c:v>1.1823273179838244E-2</c:v>
                </c:pt>
                <c:pt idx="8">
                  <c:v>0</c:v>
                </c:pt>
                <c:pt idx="9">
                  <c:v>9.8400984009839754E-3</c:v>
                </c:pt>
                <c:pt idx="10">
                  <c:v>-1.8270401948841837E-3</c:v>
                </c:pt>
                <c:pt idx="11">
                  <c:v>1.2202562538132314E-3</c:v>
                </c:pt>
                <c:pt idx="12">
                  <c:v>6.0938452163311586E-4</c:v>
                </c:pt>
                <c:pt idx="13">
                  <c:v>9.1352009744214372E-3</c:v>
                </c:pt>
                <c:pt idx="14">
                  <c:v>9.0525045262522634E-3</c:v>
                </c:pt>
                <c:pt idx="15">
                  <c:v>2.9904306220095697E-2</c:v>
                </c:pt>
                <c:pt idx="16">
                  <c:v>1.3937282229965191E-2</c:v>
                </c:pt>
                <c:pt idx="17">
                  <c:v>8.0183276059565042E-3</c:v>
                </c:pt>
                <c:pt idx="18">
                  <c:v>2.0454545454545423E-2</c:v>
                </c:pt>
                <c:pt idx="19">
                  <c:v>-4.4543429844097048E-3</c:v>
                </c:pt>
                <c:pt idx="20">
                  <c:v>3.9149888143176093E-3</c:v>
                </c:pt>
                <c:pt idx="21">
                  <c:v>5.5710306406685237E-3</c:v>
                </c:pt>
                <c:pt idx="22">
                  <c:v>4.4321329639889825E-3</c:v>
                </c:pt>
                <c:pt idx="23">
                  <c:v>3.8610038610037982E-3</c:v>
                </c:pt>
                <c:pt idx="24">
                  <c:v>0</c:v>
                </c:pt>
                <c:pt idx="25">
                  <c:v>5.4945054945051823E-4</c:v>
                </c:pt>
                <c:pt idx="26">
                  <c:v>-1.0982976386600144E-3</c:v>
                </c:pt>
                <c:pt idx="27">
                  <c:v>-1.0995052226499013E-3</c:v>
                </c:pt>
                <c:pt idx="28">
                  <c:v>6.0539350577876877E-3</c:v>
                </c:pt>
              </c:numCache>
            </c:numRef>
          </c:val>
          <c:smooth val="0"/>
          <c:extLst>
            <c:ext xmlns:c16="http://schemas.microsoft.com/office/drawing/2014/chart" uri="{C3380CC4-5D6E-409C-BE32-E72D297353CC}">
              <c16:uniqueId val="{00000001-EDD3-410F-965E-362F4AE8128A}"/>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84673599"/>
        <c:axId val="84677439"/>
      </c:lineChart>
      <c:catAx>
        <c:axId val="84673599"/>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84677439"/>
        <c:crosses val="autoZero"/>
        <c:auto val="1"/>
        <c:lblAlgn val="ctr"/>
        <c:lblOffset val="100"/>
        <c:noMultiLvlLbl val="0"/>
      </c:catAx>
      <c:valAx>
        <c:axId val="84677439"/>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84673599"/>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Crude Oil vs Health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5'!$C$102</c:f>
              <c:strCache>
                <c:ptCount val="1"/>
                <c:pt idx="0">
                  <c:v>Crude Oil</c:v>
                </c:pt>
              </c:strCache>
            </c:strRef>
          </c:tx>
          <c:spPr>
            <a:ln w="28575" cap="rnd">
              <a:solidFill>
                <a:schemeClr val="accent2"/>
              </a:solidFill>
              <a:round/>
            </a:ln>
            <a:effectLst/>
          </c:spPr>
          <c:marker>
            <c:symbol val="none"/>
          </c:marker>
          <c:cat>
            <c:multiLvlStrRef>
              <c:f>'Analysis 5'!$A$103:$B$131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5'!$C$103:$C$131</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6809-422F-B9F1-4E32D7A0DFAD}"/>
            </c:ext>
          </c:extLst>
        </c:ser>
        <c:ser>
          <c:idx val="1"/>
          <c:order val="1"/>
          <c:tx>
            <c:strRef>
              <c:f>'Analysis 5'!$D$102</c:f>
              <c:strCache>
                <c:ptCount val="1"/>
                <c:pt idx="0">
                  <c:v>Health</c:v>
                </c:pt>
              </c:strCache>
            </c:strRef>
          </c:tx>
          <c:spPr>
            <a:ln w="28575" cap="rnd">
              <a:solidFill>
                <a:schemeClr val="accent4"/>
              </a:solidFill>
              <a:round/>
            </a:ln>
            <a:effectLst/>
          </c:spPr>
          <c:marker>
            <c:symbol val="none"/>
          </c:marker>
          <c:cat>
            <c:multiLvlStrRef>
              <c:f>'Analysis 5'!$A$103:$B$131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5'!$D$103:$D$131</c:f>
              <c:numCache>
                <c:formatCode>0.0%</c:formatCode>
                <c:ptCount val="29"/>
                <c:pt idx="0">
                  <c:v>0</c:v>
                </c:pt>
                <c:pt idx="1">
                  <c:v>1.2554927809165096E-2</c:v>
                </c:pt>
                <c:pt idx="2">
                  <c:v>2.4798512089273233E-3</c:v>
                </c:pt>
                <c:pt idx="3">
                  <c:v>3.7105751391467087E-3</c:v>
                </c:pt>
                <c:pt idx="4">
                  <c:v>2.1565003080714726E-2</c:v>
                </c:pt>
                <c:pt idx="5">
                  <c:v>3.0156815440289505E-3</c:v>
                </c:pt>
                <c:pt idx="6">
                  <c:v>4.2092603728201361E-3</c:v>
                </c:pt>
                <c:pt idx="7">
                  <c:v>8.3832335329341659E-3</c:v>
                </c:pt>
                <c:pt idx="8">
                  <c:v>0</c:v>
                </c:pt>
                <c:pt idx="9">
                  <c:v>4.1567695961994573E-3</c:v>
                </c:pt>
                <c:pt idx="10">
                  <c:v>4.730928444707341E-3</c:v>
                </c:pt>
                <c:pt idx="11">
                  <c:v>4.1200706297821578E-3</c:v>
                </c:pt>
                <c:pt idx="12">
                  <c:v>4.6893317702228097E-3</c:v>
                </c:pt>
                <c:pt idx="13">
                  <c:v>4.6674445740955833E-3</c:v>
                </c:pt>
                <c:pt idx="14">
                  <c:v>4.6457607433217848E-3</c:v>
                </c:pt>
                <c:pt idx="15">
                  <c:v>5.7803468208092483E-3</c:v>
                </c:pt>
                <c:pt idx="16">
                  <c:v>4.5977011494253523E-3</c:v>
                </c:pt>
                <c:pt idx="17">
                  <c:v>3.4324942791761686E-3</c:v>
                </c:pt>
                <c:pt idx="18">
                  <c:v>3.9908779931584299E-3</c:v>
                </c:pt>
                <c:pt idx="19">
                  <c:v>3.9750141964793699E-3</c:v>
                </c:pt>
                <c:pt idx="20">
                  <c:v>5.6561085972850677E-3</c:v>
                </c:pt>
                <c:pt idx="21">
                  <c:v>5.0618672665915477E-3</c:v>
                </c:pt>
                <c:pt idx="22">
                  <c:v>6.1555679910465745E-3</c:v>
                </c:pt>
                <c:pt idx="23">
                  <c:v>7.2302558398219295E-3</c:v>
                </c:pt>
                <c:pt idx="24">
                  <c:v>6.6261733848703317E-3</c:v>
                </c:pt>
                <c:pt idx="25">
                  <c:v>1.1519473395501889E-2</c:v>
                </c:pt>
                <c:pt idx="26">
                  <c:v>0</c:v>
                </c:pt>
                <c:pt idx="27">
                  <c:v>3.2537960954446546E-3</c:v>
                </c:pt>
                <c:pt idx="28">
                  <c:v>3.7837837837837222E-3</c:v>
                </c:pt>
              </c:numCache>
            </c:numRef>
          </c:val>
          <c:smooth val="0"/>
          <c:extLst>
            <c:ext xmlns:c16="http://schemas.microsoft.com/office/drawing/2014/chart" uri="{C3380CC4-5D6E-409C-BE32-E72D297353CC}">
              <c16:uniqueId val="{00000001-6809-422F-B9F1-4E32D7A0DFAD}"/>
            </c:ext>
          </c:extLst>
        </c:ser>
        <c:dLbls>
          <c:showLegendKey val="0"/>
          <c:showVal val="0"/>
          <c:showCatName val="0"/>
          <c:showSerName val="0"/>
          <c:showPercent val="0"/>
          <c:showBubbleSize val="0"/>
        </c:dLbls>
        <c:smooth val="0"/>
        <c:axId val="80856687"/>
        <c:axId val="80847087"/>
      </c:lineChart>
      <c:catAx>
        <c:axId val="8085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847087"/>
        <c:crosses val="autoZero"/>
        <c:auto val="1"/>
        <c:lblAlgn val="ctr"/>
        <c:lblOffset val="100"/>
        <c:noMultiLvlLbl val="0"/>
      </c:catAx>
      <c:valAx>
        <c:axId val="808470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8566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Crude Oil vs Transport and Communication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 5'!$K$102</c:f>
              <c:strCache>
                <c:ptCount val="1"/>
                <c:pt idx="0">
                  <c:v>Crude Oil</c:v>
                </c:pt>
              </c:strCache>
            </c:strRef>
          </c:tx>
          <c:spPr>
            <a:ln w="28575" cap="rnd">
              <a:solidFill>
                <a:schemeClr val="accent6"/>
              </a:solidFill>
              <a:round/>
            </a:ln>
            <a:effectLst/>
          </c:spPr>
          <c:marker>
            <c:symbol val="none"/>
          </c:marker>
          <c:cat>
            <c:multiLvlStrRef>
              <c:f>'Analysis 5'!$I$103:$J$131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5'!$K$103:$K$131</c:f>
              <c:numCache>
                <c:formatCode>0.0%</c:formatCode>
                <c:ptCount val="29"/>
                <c:pt idx="0">
                  <c:v>0</c:v>
                </c:pt>
                <c:pt idx="1">
                  <c:v>0.12271089379772158</c:v>
                </c:pt>
                <c:pt idx="2">
                  <c:v>5.6132526861556398E-2</c:v>
                </c:pt>
                <c:pt idx="3">
                  <c:v>8.2387072891469144E-3</c:v>
                </c:pt>
                <c:pt idx="4">
                  <c:v>3.9776802486423554E-2</c:v>
                </c:pt>
                <c:pt idx="5">
                  <c:v>8.4274622355255013E-2</c:v>
                </c:pt>
                <c:pt idx="6">
                  <c:v>3.3971538280936422E-2</c:v>
                </c:pt>
                <c:pt idx="7">
                  <c:v>-6.448936988408506E-2</c:v>
                </c:pt>
                <c:pt idx="8">
                  <c:v>4.9021968277830404E-2</c:v>
                </c:pt>
                <c:pt idx="9">
                  <c:v>0.14692760259517795</c:v>
                </c:pt>
                <c:pt idx="10">
                  <c:v>-3.1544371016077287E-2</c:v>
                </c:pt>
                <c:pt idx="11">
                  <c:v>-7.5283611274902518E-2</c:v>
                </c:pt>
                <c:pt idx="12">
                  <c:v>0.13500831130610128</c:v>
                </c:pt>
                <c:pt idx="13">
                  <c:v>0.12337320394192434</c:v>
                </c:pt>
                <c:pt idx="14">
                  <c:v>0.22103979334645088</c:v>
                </c:pt>
                <c:pt idx="15">
                  <c:v>-8.0738586771343268E-2</c:v>
                </c:pt>
                <c:pt idx="16">
                  <c:v>8.0449761105666914E-2</c:v>
                </c:pt>
                <c:pt idx="17">
                  <c:v>7.1408431178583878E-2</c:v>
                </c:pt>
                <c:pt idx="18">
                  <c:v>-8.2587408369930518E-2</c:v>
                </c:pt>
                <c:pt idx="19">
                  <c:v>-8.7431974842195961E-2</c:v>
                </c:pt>
                <c:pt idx="20">
                  <c:v>-7.2751444026771778E-2</c:v>
                </c:pt>
                <c:pt idx="21">
                  <c:v>5.0523698874912641E-2</c:v>
                </c:pt>
                <c:pt idx="22">
                  <c:v>-3.8592844282673615E-2</c:v>
                </c:pt>
                <c:pt idx="23">
                  <c:v>-0.10072012878123551</c:v>
                </c:pt>
                <c:pt idx="24">
                  <c:v>2.4065505952612351E-2</c:v>
                </c:pt>
                <c:pt idx="25">
                  <c:v>6.7277275012187646E-3</c:v>
                </c:pt>
                <c:pt idx="26">
                  <c:v>-5.0700031226476455E-2</c:v>
                </c:pt>
                <c:pt idx="27">
                  <c:v>7.4771567957539559E-2</c:v>
                </c:pt>
                <c:pt idx="28">
                  <c:v>-9.7718169626949611E-2</c:v>
                </c:pt>
              </c:numCache>
            </c:numRef>
          </c:val>
          <c:smooth val="0"/>
          <c:extLst>
            <c:ext xmlns:c16="http://schemas.microsoft.com/office/drawing/2014/chart" uri="{C3380CC4-5D6E-409C-BE32-E72D297353CC}">
              <c16:uniqueId val="{00000000-55CB-4214-8AE7-E7E41631846D}"/>
            </c:ext>
          </c:extLst>
        </c:ser>
        <c:ser>
          <c:idx val="1"/>
          <c:order val="1"/>
          <c:tx>
            <c:strRef>
              <c:f>'Analysis 5'!$L$102</c:f>
              <c:strCache>
                <c:ptCount val="1"/>
                <c:pt idx="0">
                  <c:v>Transport and Communication</c:v>
                </c:pt>
              </c:strCache>
            </c:strRef>
          </c:tx>
          <c:spPr>
            <a:ln w="28575" cap="rnd">
              <a:solidFill>
                <a:schemeClr val="accent5"/>
              </a:solidFill>
              <a:round/>
            </a:ln>
            <a:effectLst/>
          </c:spPr>
          <c:marker>
            <c:symbol val="none"/>
          </c:marker>
          <c:cat>
            <c:multiLvlStrRef>
              <c:f>'Analysis 5'!$I$103:$J$131</c:f>
              <c:multiLvlStrCache>
                <c:ptCount val="29"/>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lvl>
                <c:lvl>
                  <c:pt idx="0">
                    <c:v>2021</c:v>
                  </c:pt>
                  <c:pt idx="1">
                    <c:v>2021</c:v>
                  </c:pt>
                  <c:pt idx="2">
                    <c:v>2021</c:v>
                  </c:pt>
                  <c:pt idx="3">
                    <c:v>2021</c:v>
                  </c:pt>
                  <c:pt idx="4">
                    <c:v>2021</c:v>
                  </c:pt>
                  <c:pt idx="5">
                    <c:v>2021</c:v>
                  </c:pt>
                  <c:pt idx="6">
                    <c:v>2021</c:v>
                  </c:pt>
                  <c:pt idx="7">
                    <c:v>2021</c:v>
                  </c:pt>
                  <c:pt idx="8">
                    <c:v>2021</c:v>
                  </c:pt>
                  <c:pt idx="9">
                    <c:v>2021</c:v>
                  </c:pt>
                  <c:pt idx="10">
                    <c:v>2021</c:v>
                  </c:pt>
                  <c:pt idx="11">
                    <c:v>2021</c:v>
                  </c:pt>
                  <c:pt idx="12">
                    <c:v>2022</c:v>
                  </c:pt>
                  <c:pt idx="13">
                    <c:v>2022</c:v>
                  </c:pt>
                  <c:pt idx="14">
                    <c:v>2022</c:v>
                  </c:pt>
                  <c:pt idx="15">
                    <c:v>2022</c:v>
                  </c:pt>
                  <c:pt idx="16">
                    <c:v>2022</c:v>
                  </c:pt>
                  <c:pt idx="17">
                    <c:v>2022</c:v>
                  </c:pt>
                  <c:pt idx="18">
                    <c:v>2022</c:v>
                  </c:pt>
                  <c:pt idx="19">
                    <c:v>2022</c:v>
                  </c:pt>
                  <c:pt idx="20">
                    <c:v>2022</c:v>
                  </c:pt>
                  <c:pt idx="21">
                    <c:v>2022</c:v>
                  </c:pt>
                  <c:pt idx="22">
                    <c:v>2022</c:v>
                  </c:pt>
                  <c:pt idx="23">
                    <c:v>2022</c:v>
                  </c:pt>
                  <c:pt idx="24">
                    <c:v>2023</c:v>
                  </c:pt>
                  <c:pt idx="25">
                    <c:v>2023</c:v>
                  </c:pt>
                  <c:pt idx="26">
                    <c:v>2023</c:v>
                  </c:pt>
                  <c:pt idx="27">
                    <c:v>2023</c:v>
                  </c:pt>
                  <c:pt idx="28">
                    <c:v>2023</c:v>
                  </c:pt>
                </c:lvl>
              </c:multiLvlStrCache>
            </c:multiLvlStrRef>
          </c:cat>
          <c:val>
            <c:numRef>
              <c:f>'Analysis 5'!$L$103:$L$131</c:f>
              <c:numCache>
                <c:formatCode>0.0%</c:formatCode>
                <c:ptCount val="29"/>
                <c:pt idx="0">
                  <c:v>0</c:v>
                </c:pt>
                <c:pt idx="1">
                  <c:v>2.2551092318534097E-2</c:v>
                </c:pt>
                <c:pt idx="2">
                  <c:v>7.5809786354238068E-3</c:v>
                </c:pt>
                <c:pt idx="3">
                  <c:v>2.7359781121751416E-3</c:v>
                </c:pt>
                <c:pt idx="4">
                  <c:v>1.568894952251031E-2</c:v>
                </c:pt>
                <c:pt idx="5">
                  <c:v>1.2088650100738636E-2</c:v>
                </c:pt>
                <c:pt idx="6">
                  <c:v>1.5925680159256841E-2</c:v>
                </c:pt>
                <c:pt idx="7">
                  <c:v>5.8785107772697954E-3</c:v>
                </c:pt>
                <c:pt idx="8">
                  <c:v>0</c:v>
                </c:pt>
                <c:pt idx="9">
                  <c:v>1.1038961038960965E-2</c:v>
                </c:pt>
                <c:pt idx="10">
                  <c:v>-5.7803468208091026E-3</c:v>
                </c:pt>
                <c:pt idx="11">
                  <c:v>5.8139534883719455E-3</c:v>
                </c:pt>
                <c:pt idx="12">
                  <c:v>5.1380860629416276E-3</c:v>
                </c:pt>
                <c:pt idx="13">
                  <c:v>2.5559105431310269E-3</c:v>
                </c:pt>
                <c:pt idx="14">
                  <c:v>6.3734862970044612E-3</c:v>
                </c:pt>
                <c:pt idx="15">
                  <c:v>2.9765674477517344E-2</c:v>
                </c:pt>
                <c:pt idx="16">
                  <c:v>2.4600246002460377E-3</c:v>
                </c:pt>
                <c:pt idx="17">
                  <c:v>-1.1656441717791446E-2</c:v>
                </c:pt>
                <c:pt idx="18">
                  <c:v>3.1036623215394167E-3</c:v>
                </c:pt>
                <c:pt idx="19">
                  <c:v>1.8564356435644268E-3</c:v>
                </c:pt>
                <c:pt idx="20">
                  <c:v>2.470660901791264E-3</c:v>
                </c:pt>
                <c:pt idx="21">
                  <c:v>3.6968576709796321E-3</c:v>
                </c:pt>
                <c:pt idx="22">
                  <c:v>6.1387354205030267E-4</c:v>
                </c:pt>
                <c:pt idx="23">
                  <c:v>2.4539877300613845E-3</c:v>
                </c:pt>
                <c:pt idx="24">
                  <c:v>1.2239902080782657E-3</c:v>
                </c:pt>
                <c:pt idx="25">
                  <c:v>3.6674816625916523E-3</c:v>
                </c:pt>
                <c:pt idx="26">
                  <c:v>0</c:v>
                </c:pt>
                <c:pt idx="27">
                  <c:v>1.8270401948843567E-3</c:v>
                </c:pt>
                <c:pt idx="28">
                  <c:v>1.8237082066869992E-3</c:v>
                </c:pt>
              </c:numCache>
            </c:numRef>
          </c:val>
          <c:smooth val="0"/>
          <c:extLst>
            <c:ext xmlns:c16="http://schemas.microsoft.com/office/drawing/2014/chart" uri="{C3380CC4-5D6E-409C-BE32-E72D297353CC}">
              <c16:uniqueId val="{00000001-55CB-4214-8AE7-E7E41631846D}"/>
            </c:ext>
          </c:extLst>
        </c:ser>
        <c:dLbls>
          <c:showLegendKey val="0"/>
          <c:showVal val="0"/>
          <c:showCatName val="0"/>
          <c:showSerName val="0"/>
          <c:showPercent val="0"/>
          <c:showBubbleSize val="0"/>
        </c:dLbls>
        <c:smooth val="0"/>
        <c:axId val="1627166559"/>
        <c:axId val="1627177119"/>
      </c:lineChart>
      <c:catAx>
        <c:axId val="162716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9"/>
        <c:crosses val="autoZero"/>
        <c:auto val="1"/>
        <c:lblAlgn val="ctr"/>
        <c:lblOffset val="100"/>
        <c:noMultiLvlLbl val="0"/>
      </c:catAx>
      <c:valAx>
        <c:axId val="162717711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665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1040696</xdr:colOff>
      <xdr:row>4</xdr:row>
      <xdr:rowOff>5439</xdr:rowOff>
    </xdr:from>
    <xdr:to>
      <xdr:col>11</xdr:col>
      <xdr:colOff>906706</xdr:colOff>
      <xdr:row>17</xdr:row>
      <xdr:rowOff>64110</xdr:rowOff>
    </xdr:to>
    <xdr:graphicFrame macro="">
      <xdr:nvGraphicFramePr>
        <xdr:cNvPr id="2" name="Chart 1">
          <a:extLst>
            <a:ext uri="{FF2B5EF4-FFF2-40B4-BE49-F238E27FC236}">
              <a16:creationId xmlns:a16="http://schemas.microsoft.com/office/drawing/2014/main" id="{1E17EA00-432A-3A8B-5F52-B604E3B636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533400</xdr:colOff>
      <xdr:row>4</xdr:row>
      <xdr:rowOff>14287</xdr:rowOff>
    </xdr:from>
    <xdr:to>
      <xdr:col>13</xdr:col>
      <xdr:colOff>95250</xdr:colOff>
      <xdr:row>14</xdr:row>
      <xdr:rowOff>104775</xdr:rowOff>
    </xdr:to>
    <xdr:graphicFrame macro="">
      <xdr:nvGraphicFramePr>
        <xdr:cNvPr id="2" name="Chart 1">
          <a:extLst>
            <a:ext uri="{FF2B5EF4-FFF2-40B4-BE49-F238E27FC236}">
              <a16:creationId xmlns:a16="http://schemas.microsoft.com/office/drawing/2014/main" id="{017F3B56-55CA-442F-CF08-74B32851E3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1571625</xdr:colOff>
      <xdr:row>18</xdr:row>
      <xdr:rowOff>71437</xdr:rowOff>
    </xdr:from>
    <xdr:to>
      <xdr:col>11</xdr:col>
      <xdr:colOff>295274</xdr:colOff>
      <xdr:row>23</xdr:row>
      <xdr:rowOff>142875</xdr:rowOff>
    </xdr:to>
    <xdr:sp macro="" textlink="">
      <xdr:nvSpPr>
        <xdr:cNvPr id="3" name="TextBox 2">
          <a:extLst>
            <a:ext uri="{FF2B5EF4-FFF2-40B4-BE49-F238E27FC236}">
              <a16:creationId xmlns:a16="http://schemas.microsoft.com/office/drawing/2014/main" id="{2147CA61-6EF1-EF9F-D94D-75233128F1EE}"/>
            </a:ext>
          </a:extLst>
        </xdr:cNvPr>
        <xdr:cNvSpPr txBox="1"/>
      </xdr:nvSpPr>
      <xdr:spPr>
        <a:xfrm>
          <a:off x="2466975" y="3509962"/>
          <a:ext cx="6153149" cy="10239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One of the key reasons for the elevated inflation in 2022 was the imbalance in demand and supply following the COVID-19 pandemic. As economies reopened, pent-up consumer demand surged while supply chains were still recovering, leading to upward pressure on prices. Additionally, the Russia–Ukraine war significantly disrupted global commodity markets—especially for fuel, food grains, and edible oils—further intensifying inflationary trends in India.</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447674</xdr:colOff>
      <xdr:row>30</xdr:row>
      <xdr:rowOff>161925</xdr:rowOff>
    </xdr:from>
    <xdr:to>
      <xdr:col>15</xdr:col>
      <xdr:colOff>361949</xdr:colOff>
      <xdr:row>45</xdr:row>
      <xdr:rowOff>95250</xdr:rowOff>
    </xdr:to>
    <xdr:graphicFrame macro="">
      <xdr:nvGraphicFramePr>
        <xdr:cNvPr id="2" name="Chart 1">
          <a:extLst>
            <a:ext uri="{FF2B5EF4-FFF2-40B4-BE49-F238E27FC236}">
              <a16:creationId xmlns:a16="http://schemas.microsoft.com/office/drawing/2014/main" id="{044F3C46-ED9A-4025-763F-1F75137A1D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400050</xdr:colOff>
      <xdr:row>46</xdr:row>
      <xdr:rowOff>176213</xdr:rowOff>
    </xdr:from>
    <xdr:to>
      <xdr:col>15</xdr:col>
      <xdr:colOff>409576</xdr:colOff>
      <xdr:row>59</xdr:row>
      <xdr:rowOff>161926</xdr:rowOff>
    </xdr:to>
    <xdr:graphicFrame macro="">
      <xdr:nvGraphicFramePr>
        <xdr:cNvPr id="3" name="Chart 2">
          <a:extLst>
            <a:ext uri="{FF2B5EF4-FFF2-40B4-BE49-F238E27FC236}">
              <a16:creationId xmlns:a16="http://schemas.microsoft.com/office/drawing/2014/main" id="{60EFCF05-5EEB-556F-1B32-1EBB87170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514350</xdr:colOff>
      <xdr:row>60</xdr:row>
      <xdr:rowOff>119062</xdr:rowOff>
    </xdr:from>
    <xdr:to>
      <xdr:col>15</xdr:col>
      <xdr:colOff>190500</xdr:colOff>
      <xdr:row>71</xdr:row>
      <xdr:rowOff>133350</xdr:rowOff>
    </xdr:to>
    <xdr:graphicFrame macro="">
      <xdr:nvGraphicFramePr>
        <xdr:cNvPr id="6" name="Chart 5">
          <a:extLst>
            <a:ext uri="{FF2B5EF4-FFF2-40B4-BE49-F238E27FC236}">
              <a16:creationId xmlns:a16="http://schemas.microsoft.com/office/drawing/2014/main" id="{AEBC20DD-F1DC-71A8-85BF-B69A23637A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261087</xdr:colOff>
      <xdr:row>73</xdr:row>
      <xdr:rowOff>159203</xdr:rowOff>
    </xdr:from>
    <xdr:to>
      <xdr:col>7</xdr:col>
      <xdr:colOff>450736</xdr:colOff>
      <xdr:row>85</xdr:row>
      <xdr:rowOff>178593</xdr:rowOff>
    </xdr:to>
    <xdr:graphicFrame macro="">
      <xdr:nvGraphicFramePr>
        <xdr:cNvPr id="3" name="Chart 2">
          <a:extLst>
            <a:ext uri="{FF2B5EF4-FFF2-40B4-BE49-F238E27FC236}">
              <a16:creationId xmlns:a16="http://schemas.microsoft.com/office/drawing/2014/main" id="{D6063B69-9F3D-5E6C-2135-31931167D9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311727</xdr:colOff>
      <xdr:row>73</xdr:row>
      <xdr:rowOff>149925</xdr:rowOff>
    </xdr:from>
    <xdr:to>
      <xdr:col>16</xdr:col>
      <xdr:colOff>222663</xdr:colOff>
      <xdr:row>85</xdr:row>
      <xdr:rowOff>173182</xdr:rowOff>
    </xdr:to>
    <xdr:graphicFrame macro="">
      <xdr:nvGraphicFramePr>
        <xdr:cNvPr id="4" name="Chart 3">
          <a:extLst>
            <a:ext uri="{FF2B5EF4-FFF2-40B4-BE49-F238E27FC236}">
              <a16:creationId xmlns:a16="http://schemas.microsoft.com/office/drawing/2014/main" id="{3EDED0AE-3F24-6941-A8BD-8446A8A32E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265338</xdr:colOff>
      <xdr:row>108</xdr:row>
      <xdr:rowOff>27991</xdr:rowOff>
    </xdr:from>
    <xdr:to>
      <xdr:col>7</xdr:col>
      <xdr:colOff>505407</xdr:colOff>
      <xdr:row>119</xdr:row>
      <xdr:rowOff>155510</xdr:rowOff>
    </xdr:to>
    <xdr:graphicFrame macro="">
      <xdr:nvGraphicFramePr>
        <xdr:cNvPr id="5" name="Chart 4">
          <a:extLst>
            <a:ext uri="{FF2B5EF4-FFF2-40B4-BE49-F238E27FC236}">
              <a16:creationId xmlns:a16="http://schemas.microsoft.com/office/drawing/2014/main" id="{901A3ABD-F34B-6BB8-796B-FC3386167F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415120</xdr:colOff>
      <xdr:row>109</xdr:row>
      <xdr:rowOff>21608</xdr:rowOff>
    </xdr:from>
    <xdr:to>
      <xdr:col>17</xdr:col>
      <xdr:colOff>42650</xdr:colOff>
      <xdr:row>120</xdr:row>
      <xdr:rowOff>42650</xdr:rowOff>
    </xdr:to>
    <xdr:graphicFrame macro="">
      <xdr:nvGraphicFramePr>
        <xdr:cNvPr id="6" name="Chart 5">
          <a:extLst>
            <a:ext uri="{FF2B5EF4-FFF2-40B4-BE49-F238E27FC236}">
              <a16:creationId xmlns:a16="http://schemas.microsoft.com/office/drawing/2014/main" id="{4C30B4C0-022D-C3AA-5B13-7634F1EED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s Gupta" refreshedDate="45928.4093818287" createdVersion="8" refreshedVersion="8" minRefreshableVersion="3" recordCount="23" xr:uid="{848E679D-3F41-4462-A39A-325BC80BE193}">
  <cacheSource type="worksheet">
    <worksheetSource ref="C6:E29" sheet="Analysis 1"/>
  </cacheSource>
  <cacheFields count="3">
    <cacheField name="detailed category" numFmtId="0">
      <sharedItems/>
    </cacheField>
    <cacheField name="broader category" numFmtId="0">
      <sharedItems count="6">
        <s v="Food and beverages"/>
        <s v="Pan, tobacco and intoxicants"/>
        <s v="Clothing and footwear"/>
        <s v="Housing"/>
        <s v="Fuel and light"/>
        <s v="Miscellaneous"/>
      </sharedItems>
    </cacheField>
    <cacheField name="cpi value" numFmtId="0">
      <sharedItems containsSemiMixedTypes="0" containsString="0" containsNumber="1" minValue="122.7" maxValue="21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s Gupta" refreshedDate="45935.675565277779" createdVersion="8" refreshedVersion="8" minRefreshableVersion="3" recordCount="372" xr:uid="{1BF169C0-1079-41D9-A42B-E91FFF63C1EF}">
  <cacheSource type="worksheet">
    <worksheetSource ref="A1:AD373" sheet="All_India_Index_Upto_April23"/>
  </cacheSource>
  <cacheFields count="30">
    <cacheField name="Sector" numFmtId="0">
      <sharedItems/>
    </cacheField>
    <cacheField name="Year" numFmtId="0">
      <sharedItems containsSemiMixedTypes="0" containsString="0" containsNumber="1" containsInteger="1" minValue="2013" maxValue="2023" count="11">
        <n v="2013"/>
        <n v="2014"/>
        <n v="2015"/>
        <n v="2016"/>
        <n v="2017"/>
        <n v="2018"/>
        <n v="2019"/>
        <n v="2020"/>
        <n v="2021"/>
        <n v="2022"/>
        <n v="2023"/>
      </sharedItems>
    </cacheField>
    <cacheField name="Month" numFmtId="0">
      <sharedItems/>
    </cacheField>
    <cacheField name="Cereals and products" numFmtId="0">
      <sharedItems containsMixedTypes="1" containsNumber="1" minValue="107.5" maxValue="174.8"/>
    </cacheField>
    <cacheField name="Meat and fish" numFmtId="0">
      <sharedItems containsMixedTypes="1" containsNumber="1" minValue="106.3" maxValue="223.4"/>
    </cacheField>
    <cacheField name="Egg" numFmtId="0">
      <sharedItems containsMixedTypes="1" containsNumber="1" minValue="102.7" maxValue="197"/>
    </cacheField>
    <cacheField name="Milk and products" numFmtId="0">
      <sharedItems containsMixedTypes="1" containsNumber="1" minValue="103.6" maxValue="179.6"/>
    </cacheField>
    <cacheField name="Oils and fats" numFmtId="0">
      <sharedItems containsMixedTypes="1" containsNumber="1" minValue="101.1" maxValue="209.9"/>
    </cacheField>
    <cacheField name="Fruits" numFmtId="0">
      <sharedItems containsMixedTypes="1" containsNumber="1" minValue="102.3" maxValue="179.5"/>
    </cacheField>
    <cacheField name="Vegetables" numFmtId="0">
      <sharedItems containsMixedTypes="1" containsNumber="1" minValue="101.4" maxValue="245.3"/>
    </cacheField>
    <cacheField name="Pulses and products" numFmtId="0">
      <sharedItems containsMixedTypes="1" containsNumber="1" minValue="103.5" maxValue="191.6"/>
    </cacheField>
    <cacheField name="Sugar and Confectionery" numFmtId="0">
      <sharedItems containsMixedTypes="1" containsNumber="1" minValue="85.3" maxValue="124.2"/>
    </cacheField>
    <cacheField name="Spices" numFmtId="0">
      <sharedItems containsMixedTypes="1" containsNumber="1" minValue="101.8" maxValue="221"/>
    </cacheField>
    <cacheField name="Non-alcoholic beverages" numFmtId="0">
      <sharedItems containsMixedTypes="1" containsNumber="1" minValue="104.8" maxValue="178.7"/>
    </cacheField>
    <cacheField name="Prepared meals, snacks, sweets etc." numFmtId="0">
      <sharedItems containsMixedTypes="1" containsNumber="1" minValue="106.7" maxValue="197.7"/>
    </cacheField>
    <cacheField name="Food and beverages" numFmtId="0">
      <sharedItems containsMixedTypes="1" containsNumber="1" minValue="105.5" maxValue="183.3"/>
    </cacheField>
    <cacheField name="Pan, tobacco and intoxicants" numFmtId="0">
      <sharedItems containsMixedTypes="1" containsNumber="1" minValue="105.1" maxValue="204.2"/>
    </cacheField>
    <cacheField name="Clothing" numFmtId="0">
      <sharedItems containsMixedTypes="1" containsNumber="1" minValue="105.9" maxValue="191.2"/>
    </cacheField>
    <cacheField name="Footwear" numFmtId="0">
      <sharedItems containsMixedTypes="1" containsNumber="1" minValue="105" maxValue="187.9"/>
    </cacheField>
    <cacheField name="Clothing and footwear" numFmtId="0">
      <sharedItems containsMixedTypes="1" containsNumber="1" minValue="105.8" maxValue="190.8"/>
    </cacheField>
    <cacheField name="Housing" numFmtId="0">
      <sharedItems containsMixedTypes="1" containsNumber="1" minValue="100.3" maxValue="175.6"/>
    </cacheField>
    <cacheField name="Fuel and light" numFmtId="0">
      <sharedItems containsMixedTypes="1" containsNumber="1" minValue="105.4" maxValue="183.4"/>
    </cacheField>
    <cacheField name="Household goods and services" numFmtId="0">
      <sharedItems containsMixedTypes="1" containsNumber="1" minValue="104.8" maxValue="179.8"/>
    </cacheField>
    <cacheField name="Health" numFmtId="0">
      <sharedItems containsMixedTypes="1" containsNumber="1" minValue="104" maxValue="187.8"/>
    </cacheField>
    <cacheField name="Transport and communication" numFmtId="0">
      <sharedItems containsMixedTypes="1" containsNumber="1" minValue="103.2" maxValue="169.7"/>
    </cacheField>
    <cacheField name="Recreation and amusement" numFmtId="0">
      <sharedItems containsMixedTypes="1" containsNumber="1" minValue="102.9" maxValue="173.8"/>
    </cacheField>
    <cacheField name="Education" numFmtId="0">
      <sharedItems containsMixedTypes="1" containsNumber="1" minValue="103.5" maxValue="180.3"/>
    </cacheField>
    <cacheField name="Personal care and effects" numFmtId="0">
      <sharedItems containsMixedTypes="1" containsNumber="1" minValue="102.1" maxValue="185.6"/>
    </cacheField>
    <cacheField name="Miscellaneous" numFmtId="0">
      <sharedItems containsMixedTypes="1" containsNumber="1" minValue="103.7" maxValue="179.5"/>
    </cacheField>
    <cacheField name="General index" numFmtId="0">
      <sharedItems containsMixedTypes="1" containsNumber="1" minValue="104" maxValue="17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s v="Cereals and products"/>
    <x v="0"/>
    <n v="173.7"/>
  </r>
  <r>
    <s v="Meat and fish"/>
    <x v="0"/>
    <n v="214.3"/>
  </r>
  <r>
    <s v="Egg"/>
    <x v="0"/>
    <n v="173.2"/>
  </r>
  <r>
    <s v="Milk and products"/>
    <x v="0"/>
    <n v="179.5"/>
  </r>
  <r>
    <s v="Oils and fats"/>
    <x v="0"/>
    <n v="170"/>
  </r>
  <r>
    <s v="Fruits"/>
    <x v="0"/>
    <n v="172.2"/>
  </r>
  <r>
    <s v="Vegetables"/>
    <x v="0"/>
    <n v="161"/>
  </r>
  <r>
    <s v="Pulses and products"/>
    <x v="0"/>
    <n v="175.6"/>
  </r>
  <r>
    <s v="Sugar and Confectionery"/>
    <x v="0"/>
    <n v="122.7"/>
  </r>
  <r>
    <s v="Spices"/>
    <x v="0"/>
    <n v="218"/>
  </r>
  <r>
    <s v="Non-alcoholic beverages"/>
    <x v="0"/>
    <n v="173.4"/>
  </r>
  <r>
    <s v="Prepared meals, snacks, sweets etc."/>
    <x v="0"/>
    <n v="194.2"/>
  </r>
  <r>
    <s v="Pan, tobacco and intoxicants"/>
    <x v="1"/>
    <n v="201"/>
  </r>
  <r>
    <s v="Clothing"/>
    <x v="2"/>
    <n v="187.3"/>
  </r>
  <r>
    <s v="Footwear"/>
    <x v="2"/>
    <n v="179.7"/>
  </r>
  <r>
    <s v="Housing"/>
    <x v="3"/>
    <n v="175.6"/>
  </r>
  <r>
    <s v="Fuel and light"/>
    <x v="4"/>
    <n v="182.8"/>
  </r>
  <r>
    <s v="Household goods and services"/>
    <x v="5"/>
    <n v="175.2"/>
  </r>
  <r>
    <s v="Health"/>
    <x v="5"/>
    <n v="185.7"/>
  </r>
  <r>
    <s v=" Transport and communication"/>
    <x v="5"/>
    <n v="164.8"/>
  </r>
  <r>
    <s v="Recreation and amusement"/>
    <x v="5"/>
    <n v="171.2"/>
  </r>
  <r>
    <s v="Education"/>
    <x v="5"/>
    <n v="177.1"/>
  </r>
  <r>
    <s v="Personal care and effects"/>
    <x v="5"/>
    <n v="185.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s v="Rural"/>
    <x v="0"/>
    <s v="January"/>
    <n v="107.5"/>
    <n v="106.3"/>
    <n v="108.1"/>
    <n v="104.9"/>
    <n v="106.1"/>
    <n v="103.9"/>
    <n v="101.9"/>
    <n v="106.1"/>
    <n v="106.8"/>
    <n v="103.1"/>
    <n v="104.8"/>
    <n v="106.7"/>
    <n v="105.5"/>
    <n v="105.1"/>
    <n v="106.5"/>
    <n v="105.8"/>
    <n v="106.4"/>
    <s v="NA"/>
    <n v="105.5"/>
    <n v="104.8"/>
    <n v="104"/>
    <n v="103.3"/>
    <n v="103.4"/>
    <n v="103.8"/>
    <n v="104.7"/>
    <n v="104"/>
    <n v="105.1"/>
  </r>
  <r>
    <s v="Urban"/>
    <x v="0"/>
    <s v="January"/>
    <n v="110.5"/>
    <n v="109.1"/>
    <n v="113"/>
    <n v="103.6"/>
    <n v="103.4"/>
    <n v="102.3"/>
    <n v="102.9"/>
    <n v="105.8"/>
    <n v="105.1"/>
    <n v="101.8"/>
    <n v="105.1"/>
    <n v="107.9"/>
    <n v="105.9"/>
    <n v="105.2"/>
    <n v="105.9"/>
    <n v="105"/>
    <n v="105.8"/>
    <n v="100.3"/>
    <n v="105.4"/>
    <n v="104.8"/>
    <n v="104.1"/>
    <n v="103.2"/>
    <n v="102.9"/>
    <n v="103.5"/>
    <n v="104.3"/>
    <n v="103.7"/>
    <n v="104"/>
  </r>
  <r>
    <s v="Rural+Urban"/>
    <x v="0"/>
    <s v="January"/>
    <n v="108.4"/>
    <n v="107.3"/>
    <n v="110"/>
    <n v="104.4"/>
    <n v="105.1"/>
    <n v="103.2"/>
    <n v="102.2"/>
    <n v="106"/>
    <n v="106.2"/>
    <n v="102.7"/>
    <n v="104.9"/>
    <n v="107.3"/>
    <n v="105.6"/>
    <n v="105.1"/>
    <n v="106.3"/>
    <n v="105.5"/>
    <n v="106.2"/>
    <n v="100.3"/>
    <n v="105.5"/>
    <n v="104.8"/>
    <n v="104"/>
    <n v="103.2"/>
    <n v="103.1"/>
    <n v="103.6"/>
    <n v="104.5"/>
    <n v="103.9"/>
    <n v="104.6"/>
  </r>
  <r>
    <s v="Rural"/>
    <x v="0"/>
    <s v="February"/>
    <n v="109.2"/>
    <n v="108.7"/>
    <n v="110.2"/>
    <n v="105.4"/>
    <n v="106.7"/>
    <n v="104"/>
    <n v="102.4"/>
    <n v="105.9"/>
    <n v="105.7"/>
    <n v="103.1"/>
    <n v="105.1"/>
    <n v="107.7"/>
    <n v="106.3"/>
    <n v="105.6"/>
    <n v="107.1"/>
    <n v="106.3"/>
    <n v="107"/>
    <s v="NA"/>
    <n v="106.2"/>
    <n v="105.2"/>
    <n v="104.4"/>
    <n v="103.9"/>
    <n v="104"/>
    <n v="104.1"/>
    <n v="104.6"/>
    <n v="104.4"/>
    <n v="105.8"/>
  </r>
  <r>
    <s v="Urban"/>
    <x v="0"/>
    <s v="February"/>
    <n v="112.9"/>
    <n v="112.9"/>
    <n v="116.9"/>
    <n v="104"/>
    <n v="103.5"/>
    <n v="103.1"/>
    <n v="104.9"/>
    <n v="104.1"/>
    <n v="103.8"/>
    <n v="102.3"/>
    <n v="106"/>
    <n v="109"/>
    <n v="107.2"/>
    <n v="106"/>
    <n v="106.6"/>
    <n v="105.5"/>
    <n v="106.4"/>
    <n v="100.4"/>
    <n v="105.7"/>
    <n v="105.2"/>
    <n v="104.7"/>
    <n v="104.4"/>
    <n v="103.3"/>
    <n v="103.7"/>
    <n v="104.3"/>
    <n v="104.3"/>
    <n v="104.7"/>
  </r>
  <r>
    <s v="Rural+Urban"/>
    <x v="0"/>
    <s v="February"/>
    <n v="110.4"/>
    <n v="110.2"/>
    <n v="112.8"/>
    <n v="104.9"/>
    <n v="105.5"/>
    <n v="103.6"/>
    <n v="103.2"/>
    <n v="105.3"/>
    <n v="105.1"/>
    <n v="102.8"/>
    <n v="105.5"/>
    <n v="108.3"/>
    <n v="106.6"/>
    <n v="105.7"/>
    <n v="106.9"/>
    <n v="106"/>
    <n v="106.8"/>
    <n v="100.4"/>
    <n v="106"/>
    <n v="105.2"/>
    <n v="104.5"/>
    <n v="104.2"/>
    <n v="103.6"/>
    <n v="103.9"/>
    <n v="104.5"/>
    <n v="104.4"/>
    <n v="105.3"/>
  </r>
  <r>
    <s v="Rural"/>
    <x v="0"/>
    <s v="March"/>
    <n v="110.2"/>
    <n v="108.8"/>
    <n v="109.9"/>
    <n v="105.6"/>
    <n v="106.2"/>
    <n v="105.7"/>
    <n v="101.4"/>
    <n v="105.7"/>
    <n v="105"/>
    <n v="103.3"/>
    <n v="105.6"/>
    <n v="108.2"/>
    <n v="106.6"/>
    <n v="106.5"/>
    <n v="107.6"/>
    <n v="106.8"/>
    <n v="107.5"/>
    <s v="NA"/>
    <n v="106.1"/>
    <n v="105.6"/>
    <n v="104.7"/>
    <n v="104.6"/>
    <n v="104"/>
    <n v="104.3"/>
    <n v="104.3"/>
    <n v="104.6"/>
    <n v="106"/>
  </r>
  <r>
    <s v="Urban"/>
    <x v="0"/>
    <s v="March"/>
    <n v="113.9"/>
    <n v="111.4"/>
    <n v="113.2"/>
    <n v="104.3"/>
    <n v="102.7"/>
    <n v="104.9"/>
    <n v="103.8"/>
    <n v="103.5"/>
    <n v="102.6"/>
    <n v="102.4"/>
    <n v="107"/>
    <n v="109.8"/>
    <n v="107.3"/>
    <n v="106.8"/>
    <n v="107.2"/>
    <n v="106"/>
    <n v="107"/>
    <n v="100.4"/>
    <n v="106"/>
    <n v="105.7"/>
    <n v="105.2"/>
    <n v="105.5"/>
    <n v="103.5"/>
    <n v="103.8"/>
    <n v="104.2"/>
    <n v="104.9"/>
    <n v="105"/>
  </r>
  <r>
    <s v="Rural+Urban"/>
    <x v="0"/>
    <s v="March"/>
    <n v="111.4"/>
    <n v="109.7"/>
    <n v="111.2"/>
    <n v="105.1"/>
    <n v="104.9"/>
    <n v="105.3"/>
    <n v="102.2"/>
    <n v="105"/>
    <n v="104.2"/>
    <n v="103"/>
    <n v="106.2"/>
    <n v="108.9"/>
    <n v="106.9"/>
    <n v="106.6"/>
    <n v="107.4"/>
    <n v="106.5"/>
    <n v="107.3"/>
    <n v="100.4"/>
    <n v="106.1"/>
    <n v="105.6"/>
    <n v="104.9"/>
    <n v="105.1"/>
    <n v="103.7"/>
    <n v="104"/>
    <n v="104.3"/>
    <n v="104.7"/>
    <n v="105.5"/>
  </r>
  <r>
    <s v="Rural"/>
    <x v="0"/>
    <s v="April"/>
    <n v="110.2"/>
    <n v="109.5"/>
    <n v="106.9"/>
    <n v="106.3"/>
    <n v="105.7"/>
    <n v="108.3"/>
    <n v="103.4"/>
    <n v="105.7"/>
    <n v="104.2"/>
    <n v="103.2"/>
    <n v="106.5"/>
    <n v="108.8"/>
    <n v="107.1"/>
    <n v="107.1"/>
    <n v="108.1"/>
    <n v="107.4"/>
    <n v="108"/>
    <s v="NA"/>
    <n v="106.5"/>
    <n v="106.1"/>
    <n v="105.1"/>
    <n v="104.4"/>
    <n v="104.5"/>
    <n v="104.8"/>
    <n v="102.7"/>
    <n v="104.6"/>
    <n v="106.4"/>
  </r>
  <r>
    <s v="Urban"/>
    <x v="0"/>
    <s v="April"/>
    <n v="114.6"/>
    <n v="113.4"/>
    <n v="106"/>
    <n v="104.7"/>
    <n v="102.1"/>
    <n v="109.5"/>
    <n v="109.7"/>
    <n v="104.6"/>
    <n v="102"/>
    <n v="103.5"/>
    <n v="108.2"/>
    <n v="110.6"/>
    <n v="108.8"/>
    <n v="108.5"/>
    <n v="107.9"/>
    <n v="106.4"/>
    <n v="107.7"/>
    <n v="100.5"/>
    <n v="106.4"/>
    <n v="106.5"/>
    <n v="105.7"/>
    <n v="105"/>
    <n v="104"/>
    <n v="105.2"/>
    <n v="103.2"/>
    <n v="105.1"/>
    <n v="105.7"/>
  </r>
  <r>
    <s v="Rural+Urban"/>
    <x v="0"/>
    <s v="April"/>
    <n v="111.6"/>
    <n v="110.9"/>
    <n v="106.6"/>
    <n v="105.7"/>
    <n v="104.4"/>
    <n v="108.9"/>
    <n v="105.5"/>
    <n v="105.3"/>
    <n v="103.5"/>
    <n v="103.3"/>
    <n v="107.2"/>
    <n v="109.6"/>
    <n v="107.7"/>
    <n v="107.5"/>
    <n v="108"/>
    <n v="107"/>
    <n v="107.9"/>
    <n v="100.5"/>
    <n v="106.5"/>
    <n v="106.3"/>
    <n v="105.3"/>
    <n v="104.7"/>
    <n v="104.2"/>
    <n v="105"/>
    <n v="102.9"/>
    <n v="104.8"/>
    <n v="106.1"/>
  </r>
  <r>
    <s v="Rural"/>
    <x v="0"/>
    <s v="May"/>
    <n v="110.9"/>
    <n v="109.8"/>
    <n v="105.9"/>
    <n v="107.5"/>
    <n v="105.3"/>
    <n v="108.1"/>
    <n v="107.3"/>
    <n v="106.1"/>
    <n v="103.7"/>
    <n v="104"/>
    <n v="107.4"/>
    <n v="109.9"/>
    <n v="108.1"/>
    <n v="108.1"/>
    <n v="108.8"/>
    <n v="107.9"/>
    <n v="108.6"/>
    <s v="NA"/>
    <n v="107.5"/>
    <n v="106.8"/>
    <n v="105.7"/>
    <n v="104.1"/>
    <n v="105"/>
    <n v="105.5"/>
    <n v="102.1"/>
    <n v="104.8"/>
    <n v="107.2"/>
  </r>
  <r>
    <s v="Urban"/>
    <x v="0"/>
    <s v="May"/>
    <n v="115.4"/>
    <n v="114.2"/>
    <n v="102.7"/>
    <n v="105.5"/>
    <n v="101.5"/>
    <n v="110.6"/>
    <n v="123.7"/>
    <n v="105.2"/>
    <n v="101.9"/>
    <n v="105"/>
    <n v="109.1"/>
    <n v="111.3"/>
    <n v="111.1"/>
    <n v="109.8"/>
    <n v="108.5"/>
    <n v="106.7"/>
    <n v="108.3"/>
    <n v="100.5"/>
    <n v="107.2"/>
    <n v="107.1"/>
    <n v="106.2"/>
    <n v="103.9"/>
    <n v="104.6"/>
    <n v="105.7"/>
    <n v="102.6"/>
    <n v="104.9"/>
    <n v="106.6"/>
  </r>
  <r>
    <s v="Rural+Urban"/>
    <x v="0"/>
    <s v="May"/>
    <n v="112.3"/>
    <n v="111.3"/>
    <n v="104.7"/>
    <n v="106.8"/>
    <n v="103.9"/>
    <n v="109.3"/>
    <n v="112.9"/>
    <n v="105.8"/>
    <n v="103.1"/>
    <n v="104.3"/>
    <n v="108.1"/>
    <n v="110.5"/>
    <n v="109.2"/>
    <n v="108.6"/>
    <n v="108.7"/>
    <n v="107.4"/>
    <n v="108.5"/>
    <n v="100.5"/>
    <n v="107.4"/>
    <n v="106.9"/>
    <n v="105.9"/>
    <n v="104"/>
    <n v="104.8"/>
    <n v="105.6"/>
    <n v="102.3"/>
    <n v="104.8"/>
    <n v="106.9"/>
  </r>
  <r>
    <s v="Rural"/>
    <x v="0"/>
    <s v="June"/>
    <n v="112.3"/>
    <n v="112.1"/>
    <n v="108.1"/>
    <n v="108.3"/>
    <n v="105.9"/>
    <n v="109.2"/>
    <n v="118"/>
    <n v="106.8"/>
    <n v="104.1"/>
    <n v="105.4"/>
    <n v="108.2"/>
    <n v="111"/>
    <n v="110.6"/>
    <n v="109"/>
    <n v="109.7"/>
    <n v="108.8"/>
    <n v="109.5"/>
    <s v="NA"/>
    <n v="108.5"/>
    <n v="107.5"/>
    <n v="106.3"/>
    <n v="105"/>
    <n v="105.6"/>
    <n v="106.5"/>
    <n v="102.5"/>
    <n v="105.5"/>
    <n v="108.9"/>
  </r>
  <r>
    <s v="Urban"/>
    <x v="0"/>
    <s v="June"/>
    <n v="117"/>
    <n v="120.1"/>
    <n v="112.5"/>
    <n v="107.3"/>
    <n v="101.3"/>
    <n v="112.4"/>
    <n v="143.6"/>
    <n v="105.4"/>
    <n v="101.4"/>
    <n v="106.4"/>
    <n v="110"/>
    <n v="112.2"/>
    <n v="115"/>
    <n v="110.9"/>
    <n v="109.2"/>
    <n v="107.2"/>
    <n v="108.9"/>
    <n v="106.6"/>
    <n v="108"/>
    <n v="107.7"/>
    <n v="106.5"/>
    <n v="105.2"/>
    <n v="105.2"/>
    <n v="108.1"/>
    <n v="103.3"/>
    <n v="106.1"/>
    <n v="109.7"/>
  </r>
  <r>
    <s v="Rural+Urban"/>
    <x v="0"/>
    <s v="June"/>
    <n v="113.8"/>
    <n v="114.9"/>
    <n v="109.8"/>
    <n v="107.9"/>
    <n v="104.2"/>
    <n v="110.7"/>
    <n v="126.7"/>
    <n v="106.3"/>
    <n v="103.2"/>
    <n v="105.7"/>
    <n v="109"/>
    <n v="111.6"/>
    <n v="112.2"/>
    <n v="109.5"/>
    <n v="109.5"/>
    <n v="108.1"/>
    <n v="109.3"/>
    <n v="106.6"/>
    <n v="108.3"/>
    <n v="107.6"/>
    <n v="106.4"/>
    <n v="105.1"/>
    <n v="105.4"/>
    <n v="107.4"/>
    <n v="102.8"/>
    <n v="105.8"/>
    <n v="109.3"/>
  </r>
  <r>
    <s v="Rural"/>
    <x v="0"/>
    <s v="July"/>
    <n v="113.4"/>
    <n v="114.9"/>
    <n v="110.5"/>
    <n v="109.3"/>
    <n v="106.2"/>
    <n v="110.3"/>
    <n v="129.19999999999999"/>
    <n v="107.1"/>
    <n v="104.3"/>
    <n v="106.4"/>
    <n v="109.1"/>
    <n v="112.1"/>
    <n v="113.1"/>
    <n v="109.8"/>
    <n v="110.5"/>
    <n v="109.5"/>
    <n v="110.3"/>
    <s v="NA"/>
    <n v="109.5"/>
    <n v="108.3"/>
    <n v="106.9"/>
    <n v="106.8"/>
    <n v="106.4"/>
    <n v="107.8"/>
    <n v="102.5"/>
    <n v="106.5"/>
    <n v="110.7"/>
  </r>
  <r>
    <s v="Urban"/>
    <x v="0"/>
    <s v="July"/>
    <n v="117.8"/>
    <n v="119.2"/>
    <n v="114"/>
    <n v="108.3"/>
    <n v="101.1"/>
    <n v="113.2"/>
    <n v="160.9"/>
    <n v="105.1"/>
    <n v="101.3"/>
    <n v="107.5"/>
    <n v="110.4"/>
    <n v="113.1"/>
    <n v="117.5"/>
    <n v="111.7"/>
    <n v="109.8"/>
    <n v="107.8"/>
    <n v="109.5"/>
    <n v="107.7"/>
    <n v="108.6"/>
    <n v="108.1"/>
    <n v="107.1"/>
    <n v="107.3"/>
    <n v="105.9"/>
    <n v="110.1"/>
    <n v="103.2"/>
    <n v="107.3"/>
    <n v="111.4"/>
  </r>
  <r>
    <s v="Rural+Urban"/>
    <x v="0"/>
    <s v="July"/>
    <n v="114.8"/>
    <n v="116.4"/>
    <n v="111.9"/>
    <n v="108.9"/>
    <n v="104.3"/>
    <n v="111.7"/>
    <n v="140"/>
    <n v="106.4"/>
    <n v="103.3"/>
    <n v="106.8"/>
    <n v="109.6"/>
    <n v="112.6"/>
    <n v="114.7"/>
    <n v="110.3"/>
    <n v="110.2"/>
    <n v="108.8"/>
    <n v="110"/>
    <n v="107.7"/>
    <n v="109.2"/>
    <n v="108.2"/>
    <n v="107"/>
    <n v="107.1"/>
    <n v="106.1"/>
    <n v="109.1"/>
    <n v="102.8"/>
    <n v="106.9"/>
    <n v="111"/>
  </r>
  <r>
    <s v="Rural"/>
    <x v="0"/>
    <s v="August"/>
    <n v="114.3"/>
    <n v="115.4"/>
    <n v="111.1"/>
    <n v="110"/>
    <n v="106.4"/>
    <n v="110.8"/>
    <n v="138.9"/>
    <n v="107.4"/>
    <n v="104.1"/>
    <n v="106.9"/>
    <n v="109.7"/>
    <n v="112.6"/>
    <n v="114.9"/>
    <n v="110.7"/>
    <n v="111.3"/>
    <n v="110.2"/>
    <n v="111.1"/>
    <s v="NA"/>
    <n v="109.9"/>
    <n v="108.7"/>
    <n v="107.5"/>
    <n v="107.8"/>
    <n v="106.8"/>
    <n v="108.7"/>
    <n v="105"/>
    <n v="107.5"/>
    <n v="112.1"/>
  </r>
  <r>
    <s v="Urban"/>
    <x v="0"/>
    <s v="August"/>
    <n v="118.3"/>
    <n v="120.4"/>
    <n v="112.7"/>
    <n v="108.9"/>
    <n v="101.1"/>
    <n v="108.7"/>
    <n v="177"/>
    <n v="104.7"/>
    <n v="101"/>
    <n v="108.5"/>
    <n v="110.9"/>
    <n v="114.3"/>
    <n v="119.6"/>
    <n v="112.4"/>
    <n v="110.6"/>
    <n v="108.3"/>
    <n v="110.2"/>
    <n v="108.9"/>
    <n v="109.3"/>
    <n v="108.7"/>
    <n v="107.6"/>
    <n v="108.1"/>
    <n v="106.5"/>
    <n v="110.8"/>
    <n v="106"/>
    <n v="108.3"/>
    <n v="112.7"/>
  </r>
  <r>
    <s v="Rural+Urban"/>
    <x v="0"/>
    <s v="August"/>
    <n v="115.6"/>
    <n v="117.2"/>
    <n v="111.7"/>
    <n v="109.6"/>
    <n v="104.5"/>
    <n v="109.8"/>
    <n v="151.80000000000001"/>
    <n v="106.5"/>
    <n v="103.1"/>
    <n v="107.4"/>
    <n v="110.2"/>
    <n v="113.4"/>
    <n v="116.6"/>
    <n v="111.2"/>
    <n v="111"/>
    <n v="109.4"/>
    <n v="110.7"/>
    <n v="108.9"/>
    <n v="109.7"/>
    <n v="108.7"/>
    <n v="107.5"/>
    <n v="108"/>
    <n v="106.6"/>
    <n v="109.9"/>
    <n v="105.4"/>
    <n v="107.9"/>
    <n v="112.4"/>
  </r>
  <r>
    <s v="Rural"/>
    <x v="0"/>
    <s v="September"/>
    <n v="115.4"/>
    <n v="115.7"/>
    <n v="111.7"/>
    <n v="111"/>
    <n v="107.4"/>
    <n v="110.9"/>
    <n v="154"/>
    <n v="108.1"/>
    <n v="104.2"/>
    <n v="107.9"/>
    <n v="110.4"/>
    <n v="114"/>
    <n v="117.8"/>
    <n v="111.7"/>
    <n v="112.7"/>
    <n v="111.4"/>
    <n v="112.5"/>
    <s v="NA"/>
    <n v="111.1"/>
    <n v="109.6"/>
    <n v="108.3"/>
    <n v="109.3"/>
    <n v="107.7"/>
    <n v="109.8"/>
    <n v="106.7"/>
    <n v="108.7"/>
    <n v="114.2"/>
  </r>
  <r>
    <s v="Urban"/>
    <x v="0"/>
    <s v="September"/>
    <n v="118.6"/>
    <n v="119.1"/>
    <n v="113.2"/>
    <n v="109.6"/>
    <n v="101.7"/>
    <n v="103.2"/>
    <n v="174.3"/>
    <n v="105.1"/>
    <n v="100.8"/>
    <n v="109.1"/>
    <n v="111.1"/>
    <n v="115.4"/>
    <n v="119.2"/>
    <n v="112.9"/>
    <n v="111.4"/>
    <n v="109"/>
    <n v="111.1"/>
    <n v="109.7"/>
    <n v="109.5"/>
    <n v="109.6"/>
    <n v="107.9"/>
    <n v="110.4"/>
    <n v="107.4"/>
    <n v="111.2"/>
    <n v="106.9"/>
    <n v="109.4"/>
    <n v="113.2"/>
  </r>
  <r>
    <s v="Rural+Urban"/>
    <x v="0"/>
    <s v="September"/>
    <n v="116.4"/>
    <n v="116.9"/>
    <n v="112.3"/>
    <n v="110.5"/>
    <n v="105.3"/>
    <n v="107.3"/>
    <n v="160.9"/>
    <n v="107.1"/>
    <n v="103.1"/>
    <n v="108.3"/>
    <n v="110.7"/>
    <n v="114.6"/>
    <n v="118.3"/>
    <n v="112"/>
    <n v="112.2"/>
    <n v="110.4"/>
    <n v="111.9"/>
    <n v="109.7"/>
    <n v="110.5"/>
    <n v="109.6"/>
    <n v="108.1"/>
    <n v="109.9"/>
    <n v="107.5"/>
    <n v="110.6"/>
    <n v="106.8"/>
    <n v="109"/>
    <n v="113.7"/>
  </r>
  <r>
    <s v="Rural"/>
    <x v="0"/>
    <s v="October"/>
    <n v="116.3"/>
    <n v="115.4"/>
    <n v="112.6"/>
    <n v="111.7"/>
    <n v="107.7"/>
    <n v="113.2"/>
    <n v="164.9"/>
    <n v="108.3"/>
    <n v="103.9"/>
    <n v="108.2"/>
    <n v="111.1"/>
    <n v="114.9"/>
    <n v="119.8"/>
    <n v="112.2"/>
    <n v="113.6"/>
    <n v="112.3"/>
    <n v="113.4"/>
    <s v="NA"/>
    <n v="111.6"/>
    <n v="110.4"/>
    <n v="108.9"/>
    <n v="109.3"/>
    <n v="108.3"/>
    <n v="110.2"/>
    <n v="107.5"/>
    <n v="109.1"/>
    <n v="115.5"/>
  </r>
  <r>
    <s v="Urban"/>
    <x v="0"/>
    <s v="October"/>
    <n v="118.9"/>
    <n v="118.1"/>
    <n v="114.5"/>
    <n v="110.4"/>
    <n v="102.3"/>
    <n v="106.2"/>
    <n v="183.5"/>
    <n v="105.3"/>
    <n v="100.2"/>
    <n v="109.6"/>
    <n v="111.4"/>
    <n v="116"/>
    <n v="120.8"/>
    <n v="113.5"/>
    <n v="112.5"/>
    <n v="109.7"/>
    <n v="112"/>
    <n v="110.5"/>
    <n v="109.7"/>
    <n v="110.2"/>
    <n v="108.2"/>
    <n v="109.7"/>
    <n v="108"/>
    <n v="111.3"/>
    <n v="107.3"/>
    <n v="109.4"/>
    <n v="114"/>
  </r>
  <r>
    <s v="Rural+Urban"/>
    <x v="0"/>
    <s v="October"/>
    <n v="117.1"/>
    <n v="116.3"/>
    <n v="113.3"/>
    <n v="111.2"/>
    <n v="105.7"/>
    <n v="109.9"/>
    <n v="171.2"/>
    <n v="107.3"/>
    <n v="102.7"/>
    <n v="108.7"/>
    <n v="111.2"/>
    <n v="115.4"/>
    <n v="120.2"/>
    <n v="112.5"/>
    <n v="113.2"/>
    <n v="111.2"/>
    <n v="112.8"/>
    <n v="110.5"/>
    <n v="110.9"/>
    <n v="110.3"/>
    <n v="108.6"/>
    <n v="109.5"/>
    <n v="108.1"/>
    <n v="110.8"/>
    <n v="107.4"/>
    <n v="109.2"/>
    <n v="114.8"/>
  </r>
  <r>
    <s v="Rural"/>
    <x v="0"/>
    <s v="November "/>
    <n v="117.3"/>
    <n v="114.9"/>
    <n v="116.2"/>
    <n v="112.8"/>
    <n v="108.9"/>
    <n v="116.6"/>
    <n v="178.1"/>
    <n v="109.1"/>
    <n v="103.6"/>
    <n v="109"/>
    <n v="111.8"/>
    <n v="116"/>
    <n v="122.5"/>
    <n v="112.8"/>
    <n v="114.6"/>
    <n v="113.1"/>
    <n v="114.4"/>
    <s v="NA"/>
    <n v="112.6"/>
    <n v="111.3"/>
    <n v="109.7"/>
    <n v="109.6"/>
    <n v="108.7"/>
    <n v="111"/>
    <n v="108.2"/>
    <n v="109.8"/>
    <n v="117.4"/>
  </r>
  <r>
    <s v="Urban"/>
    <x v="0"/>
    <s v="November"/>
    <n v="119.8"/>
    <n v="116.3"/>
    <n v="122.6"/>
    <n v="112"/>
    <n v="103.2"/>
    <n v="110"/>
    <n v="192.8"/>
    <n v="106.3"/>
    <n v="99.5"/>
    <n v="110.3"/>
    <n v="111.8"/>
    <n v="117.1"/>
    <n v="122.9"/>
    <n v="114.1"/>
    <n v="113.5"/>
    <n v="110.3"/>
    <n v="113"/>
    <n v="111.1"/>
    <n v="110"/>
    <n v="110.9"/>
    <n v="108.6"/>
    <n v="109.5"/>
    <n v="108.5"/>
    <n v="111.3"/>
    <n v="107.9"/>
    <n v="109.6"/>
    <n v="115"/>
  </r>
  <r>
    <s v="Rural+Urban"/>
    <x v="0"/>
    <s v="November"/>
    <n v="118.1"/>
    <n v="115.4"/>
    <n v="118.7"/>
    <n v="112.5"/>
    <n v="106.8"/>
    <n v="113.5"/>
    <n v="183.1"/>
    <n v="108.2"/>
    <n v="102.2"/>
    <n v="109.4"/>
    <n v="111.8"/>
    <n v="116.5"/>
    <n v="122.6"/>
    <n v="113.1"/>
    <n v="114.2"/>
    <n v="111.9"/>
    <n v="113.8"/>
    <n v="111.1"/>
    <n v="111.6"/>
    <n v="111.1"/>
    <n v="109.3"/>
    <n v="109.5"/>
    <n v="108.6"/>
    <n v="111.2"/>
    <n v="108.1"/>
    <n v="109.7"/>
    <n v="116.3"/>
  </r>
  <r>
    <s v="Rural"/>
    <x v="0"/>
    <s v="December"/>
    <n v="118.4"/>
    <n v="115.9"/>
    <n v="120.4"/>
    <n v="113.8"/>
    <n v="109.5"/>
    <n v="115.5"/>
    <n v="145.69999999999999"/>
    <n v="109.5"/>
    <n v="102.9"/>
    <n v="109.8"/>
    <n v="112.1"/>
    <n v="116.8"/>
    <n v="118.7"/>
    <n v="113.6"/>
    <n v="115.8"/>
    <n v="114"/>
    <n v="115.5"/>
    <s v="NA"/>
    <n v="112.8"/>
    <n v="112.1"/>
    <n v="110.1"/>
    <n v="109.9"/>
    <n v="109.2"/>
    <n v="111.6"/>
    <n v="108.1"/>
    <n v="110.1"/>
    <n v="115.5"/>
  </r>
  <r>
    <s v="Urban"/>
    <x v="0"/>
    <s v="December"/>
    <n v="120.5"/>
    <n v="118.1"/>
    <n v="128.5"/>
    <n v="112.8"/>
    <n v="103.4"/>
    <n v="110.7"/>
    <n v="144.80000000000001"/>
    <n v="107.1"/>
    <n v="98.6"/>
    <n v="111.9"/>
    <n v="112.1"/>
    <n v="118.1"/>
    <n v="117.8"/>
    <n v="115"/>
    <n v="114.2"/>
    <n v="110.9"/>
    <n v="113.7"/>
    <n v="110.7"/>
    <n v="110.4"/>
    <n v="111.3"/>
    <n v="109"/>
    <n v="109.7"/>
    <n v="108.9"/>
    <n v="111.4"/>
    <n v="107.7"/>
    <n v="109.8"/>
    <n v="113.3"/>
  </r>
  <r>
    <s v="Rural+Urban"/>
    <x v="0"/>
    <s v="December"/>
    <n v="119.1"/>
    <n v="116.7"/>
    <n v="123.5"/>
    <n v="113.4"/>
    <n v="107.3"/>
    <n v="113.3"/>
    <n v="145.4"/>
    <n v="108.7"/>
    <n v="101.5"/>
    <n v="110.5"/>
    <n v="112.1"/>
    <n v="117.4"/>
    <n v="118.4"/>
    <n v="114"/>
    <n v="115.2"/>
    <n v="112.7"/>
    <n v="114.8"/>
    <n v="110.7"/>
    <n v="111.9"/>
    <n v="111.7"/>
    <n v="109.7"/>
    <n v="109.8"/>
    <n v="109"/>
    <n v="111.5"/>
    <n v="107.9"/>
    <n v="110"/>
    <n v="114.5"/>
  </r>
  <r>
    <s v="Rural"/>
    <x v="1"/>
    <s v="January"/>
    <n v="118.9"/>
    <n v="117.1"/>
    <n v="120.5"/>
    <n v="114.4"/>
    <n v="109"/>
    <n v="115.5"/>
    <n v="123.9"/>
    <n v="109.6"/>
    <n v="101.8"/>
    <n v="110.2"/>
    <n v="112.4"/>
    <n v="117.3"/>
    <n v="116"/>
    <n v="114"/>
    <n v="116.5"/>
    <n v="114.5"/>
    <n v="116.2"/>
    <s v="NA"/>
    <n v="113"/>
    <n v="112.6"/>
    <n v="110.6"/>
    <n v="110.5"/>
    <n v="109.6"/>
    <n v="111.8"/>
    <n v="108.3"/>
    <n v="110.6"/>
    <n v="114.2"/>
  </r>
  <r>
    <s v="Urban"/>
    <x v="1"/>
    <s v="January"/>
    <n v="121.2"/>
    <n v="122"/>
    <n v="129.9"/>
    <n v="113.6"/>
    <n v="102.9"/>
    <n v="112.1"/>
    <n v="118.9"/>
    <n v="107.5"/>
    <n v="96.9"/>
    <n v="112.7"/>
    <n v="112.1"/>
    <n v="119"/>
    <n v="115.5"/>
    <n v="115.7"/>
    <n v="114.8"/>
    <n v="111.3"/>
    <n v="114.3"/>
    <n v="111.6"/>
    <n v="111"/>
    <n v="111.9"/>
    <n v="109.7"/>
    <n v="110.8"/>
    <n v="109.8"/>
    <n v="111.5"/>
    <n v="108"/>
    <n v="110.5"/>
    <n v="112.9"/>
  </r>
  <r>
    <s v="Rural+Urban"/>
    <x v="1"/>
    <s v="January"/>
    <n v="119.6"/>
    <n v="118.8"/>
    <n v="124.1"/>
    <n v="114.1"/>
    <n v="106.8"/>
    <n v="113.9"/>
    <n v="122.2"/>
    <n v="108.9"/>
    <n v="100.2"/>
    <n v="111"/>
    <n v="112.3"/>
    <n v="118.1"/>
    <n v="115.8"/>
    <n v="114.5"/>
    <n v="115.8"/>
    <n v="113.2"/>
    <n v="115.4"/>
    <n v="111.6"/>
    <n v="112.2"/>
    <n v="112.3"/>
    <n v="110.3"/>
    <n v="110.7"/>
    <n v="109.7"/>
    <n v="111.6"/>
    <n v="108.2"/>
    <n v="110.6"/>
    <n v="113.6"/>
  </r>
  <r>
    <s v="Rural"/>
    <x v="1"/>
    <s v="February"/>
    <n v="119.4"/>
    <n v="117.7"/>
    <n v="121.2"/>
    <n v="115"/>
    <n v="109"/>
    <n v="116.6"/>
    <n v="116"/>
    <n v="109.8"/>
    <n v="101.1"/>
    <n v="110.4"/>
    <n v="112.9"/>
    <n v="117.8"/>
    <n v="115.3"/>
    <n v="114.2"/>
    <n v="117.1"/>
    <n v="114.5"/>
    <n v="116.7"/>
    <s v="NA"/>
    <n v="113.2"/>
    <n v="112.9"/>
    <n v="110.9"/>
    <n v="110.8"/>
    <n v="109.9"/>
    <n v="112"/>
    <n v="108.7"/>
    <n v="110.9"/>
    <n v="114"/>
  </r>
  <r>
    <s v="Urban"/>
    <x v="1"/>
    <s v="February"/>
    <n v="121.9"/>
    <n v="122"/>
    <n v="124.5"/>
    <n v="115.2"/>
    <n v="102.5"/>
    <n v="114.1"/>
    <n v="111.5"/>
    <n v="108.2"/>
    <n v="95.4"/>
    <n v="113.5"/>
    <n v="112.1"/>
    <n v="119.9"/>
    <n v="115.2"/>
    <n v="116.2"/>
    <n v="115.3"/>
    <n v="111.7"/>
    <n v="114.7"/>
    <n v="112.5"/>
    <n v="111.1"/>
    <n v="112.6"/>
    <n v="110.4"/>
    <n v="111.3"/>
    <n v="110.3"/>
    <n v="111.6"/>
    <n v="108.7"/>
    <n v="111"/>
    <n v="113.1"/>
  </r>
  <r>
    <s v="Rural+Urban"/>
    <x v="1"/>
    <s v="February"/>
    <n v="120.2"/>
    <n v="119.2"/>
    <n v="122.5"/>
    <n v="115.1"/>
    <n v="106.6"/>
    <n v="115.4"/>
    <n v="114.5"/>
    <n v="109.3"/>
    <n v="99.2"/>
    <n v="111.4"/>
    <n v="112.6"/>
    <n v="118.8"/>
    <n v="115.3"/>
    <n v="114.7"/>
    <n v="116.4"/>
    <n v="113.3"/>
    <n v="115.9"/>
    <n v="112.5"/>
    <n v="112.4"/>
    <n v="112.8"/>
    <n v="110.7"/>
    <n v="111.1"/>
    <n v="110.1"/>
    <n v="111.8"/>
    <n v="108.7"/>
    <n v="110.9"/>
    <n v="113.6"/>
  </r>
  <r>
    <s v="Rural"/>
    <x v="1"/>
    <s v="March"/>
    <n v="120.1"/>
    <n v="118.1"/>
    <n v="120.7"/>
    <n v="116.1"/>
    <n v="109.3"/>
    <n v="119.6"/>
    <n v="117.9"/>
    <n v="110.2"/>
    <n v="101.2"/>
    <n v="110.7"/>
    <n v="113"/>
    <n v="118.3"/>
    <n v="116.2"/>
    <n v="114.6"/>
    <n v="117.5"/>
    <n v="114.9"/>
    <n v="117.2"/>
    <s v="NA"/>
    <n v="113.4"/>
    <n v="113.4"/>
    <n v="111.4"/>
    <n v="111.2"/>
    <n v="110.2"/>
    <n v="112.4"/>
    <n v="108.9"/>
    <n v="111.3"/>
    <n v="114.6"/>
  </r>
  <r>
    <s v="Urban"/>
    <x v="1"/>
    <s v="March"/>
    <n v="122.1"/>
    <n v="121.4"/>
    <n v="121.5"/>
    <n v="116.2"/>
    <n v="102.8"/>
    <n v="117.7"/>
    <n v="113.3"/>
    <n v="108.9"/>
    <n v="96.3"/>
    <n v="114.1"/>
    <n v="112.2"/>
    <n v="120.5"/>
    <n v="116"/>
    <n v="116.7"/>
    <n v="115.8"/>
    <n v="112.1"/>
    <n v="115.2"/>
    <n v="113.2"/>
    <n v="110.9"/>
    <n v="113"/>
    <n v="110.8"/>
    <n v="111.6"/>
    <n v="110.9"/>
    <n v="111.8"/>
    <n v="109.2"/>
    <n v="111.4"/>
    <n v="113.7"/>
  </r>
  <r>
    <s v="Rural+Urban"/>
    <x v="1"/>
    <s v="Marcrh"/>
    <n v="120.7"/>
    <n v="119.3"/>
    <n v="121"/>
    <n v="116.1"/>
    <n v="106.9"/>
    <n v="118.7"/>
    <n v="116.3"/>
    <n v="109.8"/>
    <n v="99.6"/>
    <n v="111.8"/>
    <n v="112.7"/>
    <n v="119.3"/>
    <n v="116.1"/>
    <n v="115.2"/>
    <n v="116.8"/>
    <n v="113.7"/>
    <n v="116.4"/>
    <n v="113.2"/>
    <n v="112.5"/>
    <n v="113.2"/>
    <n v="111.2"/>
    <n v="111.4"/>
    <n v="110.6"/>
    <n v="112"/>
    <n v="109"/>
    <n v="111.3"/>
    <n v="114.2"/>
  </r>
  <r>
    <s v="Rural"/>
    <x v="1"/>
    <s v="April"/>
    <n v="120.2"/>
    <n v="118.9"/>
    <n v="118.1"/>
    <n v="117"/>
    <n v="109.7"/>
    <n v="125.5"/>
    <n v="120.5"/>
    <n v="111"/>
    <n v="102.6"/>
    <n v="111.2"/>
    <n v="113.5"/>
    <n v="118.7"/>
    <n v="117.2"/>
    <n v="115.4"/>
    <n v="118.1"/>
    <n v="116.1"/>
    <n v="117.8"/>
    <s v="NA"/>
    <n v="113.4"/>
    <n v="113.7"/>
    <n v="111.8"/>
    <n v="111.2"/>
    <n v="110.5"/>
    <n v="113"/>
    <n v="108.9"/>
    <n v="111.5"/>
    <n v="115.4"/>
  </r>
  <r>
    <s v="Urban"/>
    <x v="1"/>
    <s v="April"/>
    <n v="122.5"/>
    <n v="121.7"/>
    <n v="113.3"/>
    <n v="117"/>
    <n v="103.1"/>
    <n v="126.7"/>
    <n v="121.2"/>
    <n v="111"/>
    <n v="100.3"/>
    <n v="115.3"/>
    <n v="112.7"/>
    <n v="121"/>
    <n v="118.2"/>
    <n v="117.6"/>
    <n v="116.3"/>
    <n v="112.5"/>
    <n v="115.7"/>
    <n v="113.9"/>
    <n v="110.9"/>
    <n v="113.4"/>
    <n v="111"/>
    <n v="111.2"/>
    <n v="111.2"/>
    <n v="112.5"/>
    <n v="109.1"/>
    <n v="111.4"/>
    <n v="114.7"/>
  </r>
  <r>
    <s v="Rural+Urban"/>
    <x v="1"/>
    <s v="April"/>
    <n v="120.9"/>
    <n v="119.9"/>
    <n v="116.2"/>
    <n v="117"/>
    <n v="107.3"/>
    <n v="126.1"/>
    <n v="120.7"/>
    <n v="111"/>
    <n v="101.8"/>
    <n v="112.6"/>
    <n v="113.2"/>
    <n v="119.8"/>
    <n v="117.6"/>
    <n v="116"/>
    <n v="117.4"/>
    <n v="114.6"/>
    <n v="117"/>
    <n v="113.9"/>
    <n v="112.5"/>
    <n v="113.6"/>
    <n v="111.5"/>
    <n v="111.2"/>
    <n v="110.9"/>
    <n v="112.7"/>
    <n v="109"/>
    <n v="111.5"/>
    <n v="115.1"/>
  </r>
  <r>
    <s v="Rural"/>
    <x v="1"/>
    <s v="May"/>
    <n v="120.3"/>
    <n v="120.2"/>
    <n v="116.9"/>
    <n v="118"/>
    <n v="110.1"/>
    <n v="126.3"/>
    <n v="123.9"/>
    <n v="111.5"/>
    <n v="103.5"/>
    <n v="111.6"/>
    <n v="114.2"/>
    <n v="119.2"/>
    <n v="118.2"/>
    <n v="116.3"/>
    <n v="118.7"/>
    <n v="116.8"/>
    <n v="118.5"/>
    <s v="NA"/>
    <n v="113.4"/>
    <n v="114.1"/>
    <n v="112.1"/>
    <n v="111.4"/>
    <n v="110.9"/>
    <n v="113.1"/>
    <n v="108.9"/>
    <n v="111.8"/>
    <n v="116"/>
  </r>
  <r>
    <s v="Urban"/>
    <x v="1"/>
    <s v="May"/>
    <n v="122.7"/>
    <n v="124.1"/>
    <n v="114.2"/>
    <n v="119.1"/>
    <n v="103.5"/>
    <n v="129.19999999999999"/>
    <n v="127"/>
    <n v="112.6"/>
    <n v="101.3"/>
    <n v="117"/>
    <n v="112.9"/>
    <n v="121.7"/>
    <n v="120"/>
    <n v="118.3"/>
    <n v="116.8"/>
    <n v="112.9"/>
    <n v="116.2"/>
    <n v="114.3"/>
    <n v="111.1"/>
    <n v="114.1"/>
    <n v="111.2"/>
    <n v="111.3"/>
    <n v="111.5"/>
    <n v="112.9"/>
    <n v="109.3"/>
    <n v="111.7"/>
    <n v="115.6"/>
  </r>
  <r>
    <s v="Rural+Urban"/>
    <x v="1"/>
    <s v="May"/>
    <n v="121.1"/>
    <n v="121.6"/>
    <n v="115.9"/>
    <n v="118.4"/>
    <n v="107.7"/>
    <n v="127.7"/>
    <n v="125"/>
    <n v="111.9"/>
    <n v="102.8"/>
    <n v="113.4"/>
    <n v="113.7"/>
    <n v="120.4"/>
    <n v="118.9"/>
    <n v="116.8"/>
    <n v="118"/>
    <n v="115.2"/>
    <n v="117.6"/>
    <n v="114.3"/>
    <n v="112.5"/>
    <n v="114.1"/>
    <n v="111.8"/>
    <n v="111.3"/>
    <n v="111.2"/>
    <n v="113"/>
    <n v="109.1"/>
    <n v="111.8"/>
    <n v="115.8"/>
  </r>
  <r>
    <s v="Rural"/>
    <x v="1"/>
    <s v="June"/>
    <n v="120.7"/>
    <n v="121.6"/>
    <n v="116.1"/>
    <n v="119.3"/>
    <n v="110.3"/>
    <n v="125.8"/>
    <n v="129.30000000000001"/>
    <n v="112.2"/>
    <n v="103.6"/>
    <n v="112.3"/>
    <n v="114.9"/>
    <n v="120.1"/>
    <n v="119.5"/>
    <n v="117.3"/>
    <n v="119.7"/>
    <n v="117.3"/>
    <n v="119.3"/>
    <s v="NA"/>
    <n v="114.4"/>
    <n v="114.9"/>
    <n v="112.8"/>
    <n v="112.2"/>
    <n v="111.4"/>
    <n v="114.3"/>
    <n v="108"/>
    <n v="112.3"/>
    <n v="117"/>
  </r>
  <r>
    <s v="Urban"/>
    <x v="1"/>
    <s v="June"/>
    <n v="123.1"/>
    <n v="125.9"/>
    <n v="115.4"/>
    <n v="120.4"/>
    <n v="103.4"/>
    <n v="131.19999999999999"/>
    <n v="137.5"/>
    <n v="112.8"/>
    <n v="101.4"/>
    <n v="118.3"/>
    <n v="113.2"/>
    <n v="122.4"/>
    <n v="122"/>
    <n v="119"/>
    <n v="117.4"/>
    <n v="113.2"/>
    <n v="116.7"/>
    <n v="113.9"/>
    <n v="111.2"/>
    <n v="114.3"/>
    <n v="111.4"/>
    <n v="111.5"/>
    <n v="111.8"/>
    <n v="115.1"/>
    <n v="108.7"/>
    <n v="112.2"/>
    <n v="116.4"/>
  </r>
  <r>
    <s v="Rural+Urban"/>
    <x v="1"/>
    <s v="June"/>
    <n v="121.5"/>
    <n v="123.1"/>
    <n v="115.8"/>
    <n v="119.7"/>
    <n v="107.8"/>
    <n v="128.30000000000001"/>
    <n v="132.1"/>
    <n v="112.4"/>
    <n v="102.9"/>
    <n v="114.3"/>
    <n v="114.2"/>
    <n v="121.2"/>
    <n v="120.4"/>
    <n v="117.8"/>
    <n v="118.8"/>
    <n v="115.6"/>
    <n v="118.3"/>
    <n v="113.9"/>
    <n v="113.2"/>
    <n v="114.6"/>
    <n v="112.3"/>
    <n v="111.8"/>
    <n v="111.6"/>
    <n v="114.8"/>
    <n v="108.3"/>
    <n v="112.3"/>
    <n v="116.7"/>
  </r>
  <r>
    <s v="Rural"/>
    <x v="1"/>
    <s v="July"/>
    <n v="121.7"/>
    <n v="122.5"/>
    <n v="117.7"/>
    <n v="120.6"/>
    <n v="110.4"/>
    <n v="129.1"/>
    <n v="150.1"/>
    <n v="113.2"/>
    <n v="104.8"/>
    <n v="113.3"/>
    <n v="115.6"/>
    <n v="120.9"/>
    <n v="123.3"/>
    <n v="118"/>
    <n v="120.7"/>
    <n v="118.3"/>
    <n v="120.3"/>
    <s v="NA"/>
    <n v="115.3"/>
    <n v="115.4"/>
    <n v="113.4"/>
    <n v="113.2"/>
    <n v="111.8"/>
    <n v="115.5"/>
    <n v="108.8"/>
    <n v="113.1"/>
    <n v="119.5"/>
  </r>
  <r>
    <s v="Urban"/>
    <x v="1"/>
    <s v="July"/>
    <n v="123.8"/>
    <n v="126.4"/>
    <n v="118"/>
    <n v="121.6"/>
    <n v="103.5"/>
    <n v="133.69999999999999"/>
    <n v="172.4"/>
    <n v="113.1"/>
    <n v="102.7"/>
    <n v="120"/>
    <n v="113.8"/>
    <n v="123.4"/>
    <n v="127.1"/>
    <n v="121"/>
    <n v="118"/>
    <n v="113.6"/>
    <n v="117.4"/>
    <n v="114.8"/>
    <n v="111.6"/>
    <n v="114.9"/>
    <n v="111.5"/>
    <n v="113"/>
    <n v="112.4"/>
    <n v="117.8"/>
    <n v="109.7"/>
    <n v="113.5"/>
    <n v="118.9"/>
  </r>
  <r>
    <s v="Rural+Urban"/>
    <x v="1"/>
    <s v="July"/>
    <n v="122.4"/>
    <n v="123.9"/>
    <n v="117.8"/>
    <n v="121"/>
    <n v="107.9"/>
    <n v="131.19999999999999"/>
    <n v="157.69999999999999"/>
    <n v="113.2"/>
    <n v="104.1"/>
    <n v="115.5"/>
    <n v="114.8"/>
    <n v="122.1"/>
    <n v="124.7"/>
    <n v="118.8"/>
    <n v="119.6"/>
    <n v="116.3"/>
    <n v="119.1"/>
    <n v="114.8"/>
    <n v="113.9"/>
    <n v="115.2"/>
    <n v="112.7"/>
    <n v="113.1"/>
    <n v="112.1"/>
    <n v="116.8"/>
    <n v="109.2"/>
    <n v="113.3"/>
    <n v="119.2"/>
  </r>
  <r>
    <s v="Rural"/>
    <x v="1"/>
    <s v="August"/>
    <n v="121.8"/>
    <n v="122.8"/>
    <n v="117.8"/>
    <n v="121.9"/>
    <n v="110.6"/>
    <n v="129.69999999999999"/>
    <n v="161.1"/>
    <n v="114.1"/>
    <n v="105.1"/>
    <n v="114.6"/>
    <n v="115.8"/>
    <n v="121.7"/>
    <n v="125.3"/>
    <n v="118.8"/>
    <n v="120.9"/>
    <n v="118.8"/>
    <n v="120.7"/>
    <s v="NA"/>
    <n v="115.4"/>
    <n v="115.9"/>
    <n v="114"/>
    <n v="113.2"/>
    <n v="112.2"/>
    <n v="116.2"/>
    <n v="109.4"/>
    <n v="113.5"/>
    <n v="120.7"/>
  </r>
  <r>
    <s v="Urban"/>
    <x v="1"/>
    <s v="August"/>
    <n v="124.8"/>
    <n v="127.3"/>
    <n v="116.5"/>
    <n v="122.2"/>
    <n v="103.6"/>
    <n v="132.69999999999999"/>
    <n v="181.9"/>
    <n v="115.2"/>
    <n v="102.7"/>
    <n v="122.1"/>
    <n v="114.4"/>
    <n v="124.7"/>
    <n v="128.9"/>
    <n v="123"/>
    <n v="118.6"/>
    <n v="114.1"/>
    <n v="117.9"/>
    <n v="115.5"/>
    <n v="111.8"/>
    <n v="115.3"/>
    <n v="112.2"/>
    <n v="112.5"/>
    <n v="112.9"/>
    <n v="119.2"/>
    <n v="110.5"/>
    <n v="113.9"/>
    <n v="119.9"/>
  </r>
  <r>
    <s v="Rural+Urban"/>
    <x v="1"/>
    <s v="August"/>
    <n v="122.7"/>
    <n v="124.4"/>
    <n v="117.3"/>
    <n v="122"/>
    <n v="108"/>
    <n v="131.1"/>
    <n v="168.2"/>
    <n v="114.5"/>
    <n v="104.3"/>
    <n v="117.1"/>
    <n v="115.2"/>
    <n v="123.1"/>
    <n v="126.6"/>
    <n v="119.9"/>
    <n v="120"/>
    <n v="116.8"/>
    <n v="119.6"/>
    <n v="115.5"/>
    <n v="114"/>
    <n v="115.6"/>
    <n v="113.3"/>
    <n v="112.8"/>
    <n v="112.6"/>
    <n v="118"/>
    <n v="109.9"/>
    <n v="113.7"/>
    <n v="120.3"/>
  </r>
  <r>
    <s v="Rural"/>
    <x v="1"/>
    <s v="September"/>
    <n v="122.3"/>
    <n v="122.4"/>
    <n v="117.8"/>
    <n v="122.7"/>
    <n v="110.4"/>
    <n v="129.80000000000001"/>
    <n v="158.80000000000001"/>
    <n v="115"/>
    <n v="104.7"/>
    <n v="114.9"/>
    <n v="116.5"/>
    <n v="122.6"/>
    <n v="125.3"/>
    <n v="119.5"/>
    <n v="121.7"/>
    <n v="119.2"/>
    <n v="121.3"/>
    <s v="NA"/>
    <n v="115.8"/>
    <n v="116.7"/>
    <n v="114.5"/>
    <n v="112.8"/>
    <n v="112.6"/>
    <n v="116.6"/>
    <n v="109.1"/>
    <n v="113.7"/>
    <n v="120.9"/>
  </r>
  <r>
    <s v="Urban"/>
    <x v="1"/>
    <s v="September"/>
    <n v="124.2"/>
    <n v="125.4"/>
    <n v="116.4"/>
    <n v="122.7"/>
    <n v="103.5"/>
    <n v="124.5"/>
    <n v="168.6"/>
    <n v="116.9"/>
    <n v="101.9"/>
    <n v="122.9"/>
    <n v="114.8"/>
    <n v="125.2"/>
    <n v="126.7"/>
    <n v="124.3"/>
    <n v="119.2"/>
    <n v="114.5"/>
    <n v="118.4"/>
    <n v="116.1"/>
    <n v="111.8"/>
    <n v="115.5"/>
    <n v="112.3"/>
    <n v="111.2"/>
    <n v="113.4"/>
    <n v="120"/>
    <n v="110"/>
    <n v="113.6"/>
    <n v="119.2"/>
  </r>
  <r>
    <s v="Rural+Urban"/>
    <x v="1"/>
    <s v="September"/>
    <n v="122.9"/>
    <n v="123.5"/>
    <n v="117.3"/>
    <n v="122.7"/>
    <n v="107.9"/>
    <n v="127.3"/>
    <n v="162.1"/>
    <n v="115.6"/>
    <n v="103.8"/>
    <n v="117.6"/>
    <n v="115.8"/>
    <n v="123.8"/>
    <n v="125.8"/>
    <n v="120.8"/>
    <n v="120.7"/>
    <n v="117.2"/>
    <n v="120.1"/>
    <n v="116.1"/>
    <n v="114.3"/>
    <n v="116.1"/>
    <n v="113.7"/>
    <n v="112"/>
    <n v="113.1"/>
    <n v="118.6"/>
    <n v="109.5"/>
    <n v="113.7"/>
    <n v="120.1"/>
  </r>
  <r>
    <s v="Rural"/>
    <x v="1"/>
    <s v="October"/>
    <n v="122.6"/>
    <n v="122.5"/>
    <n v="118.3"/>
    <n v="123.2"/>
    <n v="110.5"/>
    <n v="128.9"/>
    <n v="155.30000000000001"/>
    <n v="115.5"/>
    <n v="104"/>
    <n v="115.3"/>
    <n v="116.8"/>
    <n v="123.2"/>
    <n v="125.1"/>
    <n v="120"/>
    <n v="122.7"/>
    <n v="120.3"/>
    <n v="122.3"/>
    <s v="NA"/>
    <n v="116.4"/>
    <n v="117.5"/>
    <n v="115.3"/>
    <n v="112.6"/>
    <n v="113"/>
    <n v="116.9"/>
    <n v="109.3"/>
    <n v="114"/>
    <n v="121"/>
  </r>
  <r>
    <s v="Urban"/>
    <x v="1"/>
    <s v="October"/>
    <n v="124.6"/>
    <n v="126.1"/>
    <n v="117.8"/>
    <n v="123.1"/>
    <n v="103.5"/>
    <n v="123.5"/>
    <n v="159.6"/>
    <n v="117.4"/>
    <n v="101.2"/>
    <n v="123.8"/>
    <n v="115.2"/>
    <n v="125.9"/>
    <n v="125.8"/>
    <n v="124.3"/>
    <n v="119.6"/>
    <n v="114.9"/>
    <n v="118.9"/>
    <n v="116.7"/>
    <n v="112"/>
    <n v="115.8"/>
    <n v="112.6"/>
    <n v="111"/>
    <n v="113.6"/>
    <n v="120.2"/>
    <n v="110.1"/>
    <n v="113.7"/>
    <n v="119.1"/>
  </r>
  <r>
    <s v="Rural+Urban"/>
    <x v="1"/>
    <s v="October"/>
    <n v="123.2"/>
    <n v="123.8"/>
    <n v="118.1"/>
    <n v="123.2"/>
    <n v="107.9"/>
    <n v="126.4"/>
    <n v="156.80000000000001"/>
    <n v="116.1"/>
    <n v="103.1"/>
    <n v="118.1"/>
    <n v="116.1"/>
    <n v="124.5"/>
    <n v="125.4"/>
    <n v="121.1"/>
    <n v="121.5"/>
    <n v="118.1"/>
    <n v="121"/>
    <n v="116.7"/>
    <n v="114.7"/>
    <n v="116.7"/>
    <n v="114.3"/>
    <n v="111.8"/>
    <n v="113.3"/>
    <n v="118.8"/>
    <n v="109.6"/>
    <n v="113.9"/>
    <n v="120.1"/>
  </r>
  <r>
    <s v="Rural"/>
    <x v="1"/>
    <s v="November"/>
    <n v="122.7"/>
    <n v="122.6"/>
    <n v="119.9"/>
    <n v="124"/>
    <n v="110.5"/>
    <n v="128.80000000000001"/>
    <n v="152"/>
    <n v="116.2"/>
    <n v="103.3"/>
    <n v="115.8"/>
    <n v="116.8"/>
    <n v="124.5"/>
    <n v="124.9"/>
    <n v="120.8"/>
    <n v="123.3"/>
    <n v="120.5"/>
    <n v="122.9"/>
    <s v="NA"/>
    <n v="117.3"/>
    <n v="118.1"/>
    <n v="115.9"/>
    <n v="112"/>
    <n v="113.3"/>
    <n v="117.2"/>
    <n v="108.8"/>
    <n v="114.1"/>
    <n v="121.1"/>
  </r>
  <r>
    <s v="Urban"/>
    <x v="1"/>
    <s v="November"/>
    <n v="124.5"/>
    <n v="125.6"/>
    <n v="122.7"/>
    <n v="124.6"/>
    <n v="103.2"/>
    <n v="122.2"/>
    <n v="153.19999999999999"/>
    <n v="119.3"/>
    <n v="99.8"/>
    <n v="124.6"/>
    <n v="115.8"/>
    <n v="126.9"/>
    <n v="125.4"/>
    <n v="125.8"/>
    <n v="120.3"/>
    <n v="115.4"/>
    <n v="119.5"/>
    <n v="117.1"/>
    <n v="112.6"/>
    <n v="116.4"/>
    <n v="113"/>
    <n v="109.7"/>
    <n v="114"/>
    <n v="120.3"/>
    <n v="109.6"/>
    <n v="113.4"/>
    <n v="119"/>
  </r>
  <r>
    <s v="Rural+Urban"/>
    <x v="1"/>
    <s v="November"/>
    <n v="123.3"/>
    <n v="123.7"/>
    <n v="121"/>
    <n v="124.2"/>
    <n v="107.8"/>
    <n v="125.7"/>
    <n v="152.4"/>
    <n v="117.2"/>
    <n v="102.1"/>
    <n v="118.7"/>
    <n v="116.4"/>
    <n v="125.6"/>
    <n v="125.1"/>
    <n v="122.1"/>
    <n v="122.1"/>
    <n v="118.4"/>
    <n v="121.6"/>
    <n v="117.1"/>
    <n v="115.5"/>
    <n v="117.3"/>
    <n v="114.8"/>
    <n v="110.8"/>
    <n v="113.7"/>
    <n v="119"/>
    <n v="109.1"/>
    <n v="113.8"/>
    <n v="120.1"/>
  </r>
  <r>
    <s v="Rural"/>
    <x v="1"/>
    <s v="December"/>
    <n v="122.4"/>
    <n v="122.4"/>
    <n v="121.8"/>
    <n v="124.2"/>
    <n v="110.2"/>
    <n v="128.6"/>
    <n v="140.30000000000001"/>
    <n v="116.3"/>
    <n v="102"/>
    <n v="116"/>
    <n v="117.3"/>
    <n v="124.8"/>
    <n v="123.3"/>
    <n v="121.7"/>
    <n v="123.8"/>
    <n v="120.6"/>
    <n v="123.3"/>
    <s v="NA"/>
    <n v="117.4"/>
    <n v="118.2"/>
    <n v="116.2"/>
    <n v="111.5"/>
    <n v="113.3"/>
    <n v="117.7"/>
    <n v="109.4"/>
    <n v="114.2"/>
    <n v="120.3"/>
  </r>
  <r>
    <s v="Urban"/>
    <x v="1"/>
    <s v="December"/>
    <n v="124"/>
    <n v="124.7"/>
    <n v="126.3"/>
    <n v="124.9"/>
    <n v="103"/>
    <n v="122.3"/>
    <n v="141"/>
    <n v="120.1"/>
    <n v="97.8"/>
    <n v="125.4"/>
    <n v="116.1"/>
    <n v="127.6"/>
    <n v="124"/>
    <n v="126.4"/>
    <n v="120.7"/>
    <n v="115.8"/>
    <n v="120"/>
    <n v="116.5"/>
    <n v="113"/>
    <n v="116.8"/>
    <n v="113.2"/>
    <n v="108.8"/>
    <n v="114.3"/>
    <n v="120.7"/>
    <n v="110.4"/>
    <n v="113.4"/>
    <n v="118.4"/>
  </r>
  <r>
    <s v="Rural+Urban"/>
    <x v="1"/>
    <s v="December"/>
    <n v="122.9"/>
    <n v="123.2"/>
    <n v="123.5"/>
    <n v="124.5"/>
    <n v="107.6"/>
    <n v="125.7"/>
    <n v="140.5"/>
    <n v="117.6"/>
    <n v="100.6"/>
    <n v="119.1"/>
    <n v="116.8"/>
    <n v="126.1"/>
    <n v="123.6"/>
    <n v="123"/>
    <n v="122.6"/>
    <n v="118.6"/>
    <n v="122"/>
    <n v="116.5"/>
    <n v="115.7"/>
    <n v="117.5"/>
    <n v="115.1"/>
    <n v="110.1"/>
    <n v="113.9"/>
    <n v="119.5"/>
    <n v="109.8"/>
    <n v="113.8"/>
    <n v="119.4"/>
  </r>
  <r>
    <s v="Rural"/>
    <x v="2"/>
    <s v="January"/>
    <n v="123.1"/>
    <n v="123.1"/>
    <n v="122.1"/>
    <n v="124.9"/>
    <n v="111"/>
    <n v="130.4"/>
    <n v="132.30000000000001"/>
    <n v="117.2"/>
    <n v="100.5"/>
    <n v="117.2"/>
    <n v="117.9"/>
    <n v="125.6"/>
    <n v="122.8"/>
    <n v="122.7"/>
    <n v="124.4"/>
    <n v="121.6"/>
    <n v="124"/>
    <s v="NA"/>
    <n v="118.4"/>
    <n v="118.9"/>
    <n v="116.6"/>
    <n v="111"/>
    <n v="114"/>
    <n v="118.2"/>
    <n v="110.2"/>
    <n v="114.5"/>
    <n v="120.3"/>
  </r>
  <r>
    <s v="Urban"/>
    <x v="2"/>
    <s v="January"/>
    <n v="124"/>
    <n v="125.5"/>
    <n v="126.6"/>
    <n v="125.2"/>
    <n v="104.3"/>
    <n v="121.3"/>
    <n v="134.4"/>
    <n v="122.9"/>
    <n v="96.1"/>
    <n v="126.6"/>
    <n v="116.5"/>
    <n v="128"/>
    <n v="123.5"/>
    <n v="127.4"/>
    <n v="121"/>
    <n v="116.1"/>
    <n v="120.2"/>
    <n v="117.3"/>
    <n v="113.4"/>
    <n v="117.2"/>
    <n v="113.7"/>
    <n v="107.9"/>
    <n v="114.6"/>
    <n v="120.8"/>
    <n v="111.4"/>
    <n v="113.4"/>
    <n v="118.5"/>
  </r>
  <r>
    <s v="Rural+Urban"/>
    <x v="2"/>
    <s v="January"/>
    <n v="123.4"/>
    <n v="123.9"/>
    <n v="123.8"/>
    <n v="125"/>
    <n v="108.5"/>
    <n v="126.2"/>
    <n v="133"/>
    <n v="119.1"/>
    <n v="99"/>
    <n v="120.3"/>
    <n v="117.3"/>
    <n v="126.7"/>
    <n v="123.1"/>
    <n v="124"/>
    <n v="123.1"/>
    <n v="119.3"/>
    <n v="122.5"/>
    <n v="117.3"/>
    <n v="116.5"/>
    <n v="118.1"/>
    <n v="115.5"/>
    <n v="109.4"/>
    <n v="114.3"/>
    <n v="119.7"/>
    <n v="110.7"/>
    <n v="114"/>
    <n v="119.5"/>
  </r>
  <r>
    <s v="Rural"/>
    <x v="2"/>
    <s v="February"/>
    <n v="123.4"/>
    <n v="124.4"/>
    <n v="122.1"/>
    <n v="125.8"/>
    <n v="111.5"/>
    <n v="129.4"/>
    <n v="128.19999999999999"/>
    <n v="118.8"/>
    <n v="100"/>
    <n v="118.6"/>
    <n v="118.8"/>
    <n v="126.8"/>
    <n v="122.8"/>
    <n v="124.2"/>
    <n v="125.4"/>
    <n v="122.7"/>
    <n v="125"/>
    <s v="NA"/>
    <n v="120"/>
    <n v="119.6"/>
    <n v="117.7"/>
    <n v="110.9"/>
    <n v="114.8"/>
    <n v="118.7"/>
    <n v="110.8"/>
    <n v="115"/>
    <n v="120.6"/>
  </r>
  <r>
    <s v="Urban"/>
    <x v="2"/>
    <s v="February"/>
    <n v="124.3"/>
    <n v="126.5"/>
    <n v="119.5"/>
    <n v="125.6"/>
    <n v="104.9"/>
    <n v="121.6"/>
    <n v="131.80000000000001"/>
    <n v="125.1"/>
    <n v="95"/>
    <n v="127.7"/>
    <n v="116.8"/>
    <n v="128.6"/>
    <n v="123.7"/>
    <n v="128.1"/>
    <n v="121.3"/>
    <n v="116.5"/>
    <n v="120.6"/>
    <n v="118.1"/>
    <n v="114"/>
    <n v="117.7"/>
    <n v="114.1"/>
    <n v="106.8"/>
    <n v="114.9"/>
    <n v="120.4"/>
    <n v="111.7"/>
    <n v="113.2"/>
    <n v="118.7"/>
  </r>
  <r>
    <s v="Rural+Urban"/>
    <x v="2"/>
    <s v="February"/>
    <n v="123.7"/>
    <n v="125.1"/>
    <n v="121.1"/>
    <n v="125.7"/>
    <n v="109.1"/>
    <n v="125.8"/>
    <n v="129.4"/>
    <n v="120.9"/>
    <n v="98.3"/>
    <n v="121.6"/>
    <n v="118"/>
    <n v="127.6"/>
    <n v="123.1"/>
    <n v="125.2"/>
    <n v="123.8"/>
    <n v="120.1"/>
    <n v="123.3"/>
    <n v="118.1"/>
    <n v="117.7"/>
    <n v="118.7"/>
    <n v="116.3"/>
    <n v="108.7"/>
    <n v="114.9"/>
    <n v="119.7"/>
    <n v="111.2"/>
    <n v="114.1"/>
    <n v="119.7"/>
  </r>
  <r>
    <s v="Rural"/>
    <x v="2"/>
    <s v="March"/>
    <n v="123.3"/>
    <n v="124.7"/>
    <n v="118.9"/>
    <n v="126"/>
    <n v="111.8"/>
    <n v="130.9"/>
    <n v="128"/>
    <n v="119.9"/>
    <n v="98.9"/>
    <n v="119.4"/>
    <n v="118.9"/>
    <n v="127.7"/>
    <n v="123.1"/>
    <n v="124.7"/>
    <n v="126"/>
    <n v="122.9"/>
    <n v="125.5"/>
    <s v="NA"/>
    <n v="120.6"/>
    <n v="120.2"/>
    <n v="118.2"/>
    <n v="111.6"/>
    <n v="115.5"/>
    <n v="119.4"/>
    <n v="110.8"/>
    <n v="115.5"/>
    <n v="121.1"/>
  </r>
  <r>
    <s v="Urban"/>
    <x v="2"/>
    <s v="March"/>
    <n v="124"/>
    <n v="126.7"/>
    <n v="113.5"/>
    <n v="125.9"/>
    <n v="104.8"/>
    <n v="123.8"/>
    <n v="131.4"/>
    <n v="127.2"/>
    <n v="93.2"/>
    <n v="127.4"/>
    <n v="117"/>
    <n v="129.19999999999999"/>
    <n v="123.9"/>
    <n v="128.80000000000001"/>
    <n v="121.7"/>
    <n v="116.9"/>
    <n v="120.9"/>
    <n v="118.6"/>
    <n v="114.4"/>
    <n v="118"/>
    <n v="114.3"/>
    <n v="108.4"/>
    <n v="115.4"/>
    <n v="120.6"/>
    <n v="111.3"/>
    <n v="113.8"/>
    <n v="119.1"/>
  </r>
  <r>
    <s v="Rural+Urban"/>
    <x v="2"/>
    <s v="March"/>
    <n v="123.5"/>
    <n v="125.4"/>
    <n v="116.8"/>
    <n v="126"/>
    <n v="109.2"/>
    <n v="127.6"/>
    <n v="129.19999999999999"/>
    <n v="122.4"/>
    <n v="97"/>
    <n v="122.1"/>
    <n v="118.1"/>
    <n v="128.4"/>
    <n v="123.4"/>
    <n v="125.8"/>
    <n v="124.3"/>
    <n v="120.4"/>
    <n v="123.7"/>
    <n v="118.6"/>
    <n v="118.3"/>
    <n v="119.2"/>
    <n v="116.7"/>
    <n v="109.9"/>
    <n v="115.4"/>
    <n v="120.1"/>
    <n v="111"/>
    <n v="114.7"/>
    <n v="120.2"/>
  </r>
  <r>
    <s v="Rural"/>
    <x v="2"/>
    <s v="April"/>
    <n v="123.3"/>
    <n v="125.5"/>
    <n v="117.2"/>
    <n v="126.8"/>
    <n v="111.9"/>
    <n v="134.19999999999999"/>
    <n v="127.5"/>
    <n v="121.5"/>
    <n v="97.8"/>
    <n v="119.8"/>
    <n v="119.4"/>
    <n v="128.69999999999999"/>
    <n v="123.6"/>
    <n v="125.7"/>
    <n v="126.4"/>
    <n v="123.3"/>
    <n v="126"/>
    <s v="NA"/>
    <n v="121.2"/>
    <n v="120.9"/>
    <n v="118.6"/>
    <n v="111.9"/>
    <n v="116.2"/>
    <n v="119.9"/>
    <n v="111.6"/>
    <n v="116"/>
    <n v="121.5"/>
  </r>
  <r>
    <s v="Urban"/>
    <x v="2"/>
    <s v="April"/>
    <n v="123.8"/>
    <n v="128.19999999999999"/>
    <n v="110"/>
    <n v="126.3"/>
    <n v="104.5"/>
    <n v="130.6"/>
    <n v="130.80000000000001"/>
    <n v="131.30000000000001"/>
    <n v="91.6"/>
    <n v="127.7"/>
    <n v="117.2"/>
    <n v="129.5"/>
    <n v="124.6"/>
    <n v="130.1"/>
    <n v="122.1"/>
    <n v="117.2"/>
    <n v="121.3"/>
    <n v="119.2"/>
    <n v="114.7"/>
    <n v="118.4"/>
    <n v="114.6"/>
    <n v="108.4"/>
    <n v="115.6"/>
    <n v="121.7"/>
    <n v="111.8"/>
    <n v="114.2"/>
    <n v="119.7"/>
  </r>
  <r>
    <s v="Rural+Urban"/>
    <x v="2"/>
    <s v="April"/>
    <n v="123.5"/>
    <n v="126.4"/>
    <n v="114.4"/>
    <n v="126.6"/>
    <n v="109.2"/>
    <n v="132.5"/>
    <n v="128.6"/>
    <n v="124.8"/>
    <n v="95.7"/>
    <n v="122.4"/>
    <n v="118.5"/>
    <n v="129.1"/>
    <n v="124"/>
    <n v="126.9"/>
    <n v="124.7"/>
    <n v="120.8"/>
    <n v="124.1"/>
    <n v="119.2"/>
    <n v="118.7"/>
    <n v="119.7"/>
    <n v="117.1"/>
    <n v="110.1"/>
    <n v="115.9"/>
    <n v="121"/>
    <n v="111.7"/>
    <n v="115.1"/>
    <n v="120.7"/>
  </r>
  <r>
    <s v="Rural"/>
    <x v="2"/>
    <s v="May"/>
    <n v="123.5"/>
    <n v="127.1"/>
    <n v="117.3"/>
    <n v="127.7"/>
    <n v="112.5"/>
    <n v="134.1"/>
    <n v="128.5"/>
    <n v="124.3"/>
    <n v="97.6"/>
    <n v="120.7"/>
    <n v="120.2"/>
    <n v="129.80000000000001"/>
    <n v="124.4"/>
    <n v="126.7"/>
    <n v="127.3"/>
    <n v="124.1"/>
    <n v="126.8"/>
    <s v="NA"/>
    <n v="121.9"/>
    <n v="121.5"/>
    <n v="119.4"/>
    <n v="113.3"/>
    <n v="116.7"/>
    <n v="120.5"/>
    <n v="112.3"/>
    <n v="116.9"/>
    <n v="122.4"/>
  </r>
  <r>
    <s v="Urban"/>
    <x v="2"/>
    <s v="May"/>
    <n v="123.8"/>
    <n v="129.69999999999999"/>
    <n v="111.3"/>
    <n v="126.6"/>
    <n v="105.2"/>
    <n v="130.80000000000001"/>
    <n v="135.6"/>
    <n v="142.6"/>
    <n v="90.8"/>
    <n v="128.80000000000001"/>
    <n v="117.7"/>
    <n v="129.9"/>
    <n v="126.1"/>
    <n v="131.30000000000001"/>
    <n v="122.4"/>
    <n v="117.4"/>
    <n v="121.6"/>
    <n v="119.6"/>
    <n v="114.9"/>
    <n v="118.7"/>
    <n v="114.9"/>
    <n v="110.8"/>
    <n v="116"/>
    <n v="122"/>
    <n v="112.4"/>
    <n v="115.2"/>
    <n v="120.7"/>
  </r>
  <r>
    <s v="Rural+Urban"/>
    <x v="2"/>
    <s v="May"/>
    <n v="123.6"/>
    <n v="128"/>
    <n v="115"/>
    <n v="127.3"/>
    <n v="109.8"/>
    <n v="132.6"/>
    <n v="130.9"/>
    <n v="130.5"/>
    <n v="95.3"/>
    <n v="123.4"/>
    <n v="119.2"/>
    <n v="129.80000000000001"/>
    <n v="125"/>
    <n v="127.9"/>
    <n v="125.4"/>
    <n v="121.3"/>
    <n v="124.7"/>
    <n v="119.6"/>
    <n v="119.2"/>
    <n v="120.2"/>
    <n v="117.7"/>
    <n v="112"/>
    <n v="116.3"/>
    <n v="121.4"/>
    <n v="112.3"/>
    <n v="116.1"/>
    <n v="121.6"/>
  </r>
  <r>
    <s v="Rural"/>
    <x v="2"/>
    <s v="June"/>
    <n v="124.1"/>
    <n v="130.4"/>
    <n v="122.1"/>
    <n v="128.69999999999999"/>
    <n v="114.1"/>
    <n v="133.19999999999999"/>
    <n v="135.19999999999999"/>
    <n v="131.9"/>
    <n v="96.3"/>
    <n v="123"/>
    <n v="121.1"/>
    <n v="131.19999999999999"/>
    <n v="126.6"/>
    <n v="128.19999999999999"/>
    <n v="128.4"/>
    <n v="125.1"/>
    <n v="128"/>
    <s v="NA"/>
    <n v="122.6"/>
    <n v="122.8"/>
    <n v="120.4"/>
    <n v="114.2"/>
    <n v="117.9"/>
    <n v="122"/>
    <n v="113"/>
    <n v="117.9"/>
    <n v="124.1"/>
  </r>
  <r>
    <s v="Urban"/>
    <x v="2"/>
    <s v="June"/>
    <n v="123.6"/>
    <n v="134.4"/>
    <n v="120.9"/>
    <n v="127.3"/>
    <n v="106"/>
    <n v="132.30000000000001"/>
    <n v="146.69999999999999"/>
    <n v="148.1"/>
    <n v="89.8"/>
    <n v="130.5"/>
    <n v="118"/>
    <n v="130.5"/>
    <n v="128.5"/>
    <n v="132.1"/>
    <n v="123.2"/>
    <n v="117.6"/>
    <n v="122.3"/>
    <n v="119"/>
    <n v="115.1"/>
    <n v="119.2"/>
    <n v="115.4"/>
    <n v="111.7"/>
    <n v="116.2"/>
    <n v="123.8"/>
    <n v="112.5"/>
    <n v="116"/>
    <n v="121.7"/>
  </r>
  <r>
    <s v="Rural+Urban"/>
    <x v="2"/>
    <s v="June"/>
    <n v="123.9"/>
    <n v="131.80000000000001"/>
    <n v="121.6"/>
    <n v="128.19999999999999"/>
    <n v="111.1"/>
    <n v="132.80000000000001"/>
    <n v="139.1"/>
    <n v="137.4"/>
    <n v="94.1"/>
    <n v="125.5"/>
    <n v="119.8"/>
    <n v="130.9"/>
    <n v="127.3"/>
    <n v="129.19999999999999"/>
    <n v="126.4"/>
    <n v="122"/>
    <n v="125.7"/>
    <n v="119"/>
    <n v="119.8"/>
    <n v="121.1"/>
    <n v="118.5"/>
    <n v="112.9"/>
    <n v="116.9"/>
    <n v="123.1"/>
    <n v="112.8"/>
    <n v="117"/>
    <n v="123"/>
  </r>
  <r>
    <s v="Rural"/>
    <x v="2"/>
    <s v="July"/>
    <n v="124"/>
    <n v="131.5"/>
    <n v="122"/>
    <n v="128.69999999999999"/>
    <n v="113.5"/>
    <n v="133.30000000000001"/>
    <n v="140.80000000000001"/>
    <n v="133.80000000000001"/>
    <n v="94.1"/>
    <n v="123.4"/>
    <n v="121"/>
    <n v="131.69999999999999"/>
    <n v="127.5"/>
    <n v="129.4"/>
    <n v="128.80000000000001"/>
    <n v="125.5"/>
    <n v="128.30000000000001"/>
    <s v="NA"/>
    <n v="123"/>
    <n v="123"/>
    <n v="120.8"/>
    <n v="114.1"/>
    <n v="118"/>
    <n v="122.9"/>
    <n v="112.7"/>
    <n v="118.1"/>
    <n v="124.7"/>
  </r>
  <r>
    <s v="Urban"/>
    <x v="2"/>
    <s v="July"/>
    <n v="123.2"/>
    <n v="134.30000000000001"/>
    <n v="119.5"/>
    <n v="127.7"/>
    <n v="106.3"/>
    <n v="132.80000000000001"/>
    <n v="153.5"/>
    <n v="149.5"/>
    <n v="85.7"/>
    <n v="131.5"/>
    <n v="118.3"/>
    <n v="131.1"/>
    <n v="129.5"/>
    <n v="133.1"/>
    <n v="123.5"/>
    <n v="117.9"/>
    <n v="122.7"/>
    <n v="119.9"/>
    <n v="115.3"/>
    <n v="119.5"/>
    <n v="116"/>
    <n v="111.5"/>
    <n v="116.6"/>
    <n v="125.4"/>
    <n v="111.7"/>
    <n v="116.3"/>
    <n v="122.4"/>
  </r>
  <r>
    <s v="Rural+Urban"/>
    <x v="2"/>
    <s v="July"/>
    <n v="123.7"/>
    <n v="132.5"/>
    <n v="121"/>
    <n v="128.30000000000001"/>
    <n v="110.9"/>
    <n v="133.1"/>
    <n v="145.1"/>
    <n v="139.1"/>
    <n v="91.3"/>
    <n v="126.1"/>
    <n v="119.9"/>
    <n v="131.4"/>
    <n v="128.19999999999999"/>
    <n v="130.4"/>
    <n v="126.7"/>
    <n v="122.3"/>
    <n v="126.1"/>
    <n v="119.9"/>
    <n v="120.1"/>
    <n v="121.3"/>
    <n v="119"/>
    <n v="112.7"/>
    <n v="117.2"/>
    <n v="124.4"/>
    <n v="112.3"/>
    <n v="117.2"/>
    <n v="123.6"/>
  </r>
  <r>
    <s v="Rural"/>
    <x v="2"/>
    <s v="August"/>
    <n v="124.7"/>
    <n v="131.30000000000001"/>
    <n v="121.3"/>
    <n v="128.80000000000001"/>
    <n v="114"/>
    <n v="134.19999999999999"/>
    <n v="153.6"/>
    <n v="137.9"/>
    <n v="93.1"/>
    <n v="123.9"/>
    <n v="121.5"/>
    <n v="132.5"/>
    <n v="129.80000000000001"/>
    <n v="130.1"/>
    <n v="129.5"/>
    <n v="126.3"/>
    <n v="129"/>
    <s v="NA"/>
    <n v="123.8"/>
    <n v="123.7"/>
    <n v="121.1"/>
    <n v="113.6"/>
    <n v="118.5"/>
    <n v="123.6"/>
    <n v="112.5"/>
    <n v="118.2"/>
    <n v="126.1"/>
  </r>
  <r>
    <s v="Urban"/>
    <x v="2"/>
    <s v="August"/>
    <n v="123.1"/>
    <n v="131.69999999999999"/>
    <n v="118.1"/>
    <n v="128"/>
    <n v="106.8"/>
    <n v="130.1"/>
    <n v="165.5"/>
    <n v="156"/>
    <n v="85.3"/>
    <n v="132.69999999999999"/>
    <n v="118.8"/>
    <n v="131.69999999999999"/>
    <n v="131.1"/>
    <n v="134.19999999999999"/>
    <n v="123.7"/>
    <n v="118.2"/>
    <n v="122.9"/>
    <n v="120.9"/>
    <n v="115.3"/>
    <n v="120"/>
    <n v="116.6"/>
    <n v="109.9"/>
    <n v="117.2"/>
    <n v="126.2"/>
    <n v="112"/>
    <n v="116.2"/>
    <n v="123.2"/>
  </r>
  <r>
    <s v="Rural+Urban"/>
    <x v="2"/>
    <s v="August"/>
    <n v="124.2"/>
    <n v="131.4"/>
    <n v="120.1"/>
    <n v="128.5"/>
    <n v="111.4"/>
    <n v="132.30000000000001"/>
    <n v="157.6"/>
    <n v="144"/>
    <n v="90.5"/>
    <n v="126.8"/>
    <n v="120.4"/>
    <n v="132.1"/>
    <n v="130.30000000000001"/>
    <n v="131.19999999999999"/>
    <n v="127.2"/>
    <n v="122.9"/>
    <n v="126.6"/>
    <n v="120.9"/>
    <n v="120.6"/>
    <n v="122"/>
    <n v="119.4"/>
    <n v="111.7"/>
    <n v="117.8"/>
    <n v="125.1"/>
    <n v="112.3"/>
    <n v="117.2"/>
    <n v="124.8"/>
  </r>
  <r>
    <s v="Rural"/>
    <x v="2"/>
    <s v="September"/>
    <n v="125.1"/>
    <n v="131.1"/>
    <n v="120.7"/>
    <n v="129.19999999999999"/>
    <n v="114.7"/>
    <n v="132.30000000000001"/>
    <n v="158.9"/>
    <n v="142.1"/>
    <n v="92.5"/>
    <n v="125.4"/>
    <n v="121.9"/>
    <n v="132.69999999999999"/>
    <n v="131"/>
    <n v="131"/>
    <n v="130.4"/>
    <n v="126.8"/>
    <n v="129.9"/>
    <s v="NA"/>
    <n v="123.7"/>
    <n v="124.5"/>
    <n v="121.4"/>
    <n v="113.8"/>
    <n v="119.6"/>
    <n v="124.5"/>
    <n v="113.7"/>
    <n v="118.8"/>
    <n v="127"/>
  </r>
  <r>
    <s v="Urban"/>
    <x v="2"/>
    <s v="September"/>
    <n v="123.4"/>
    <n v="129"/>
    <n v="115.6"/>
    <n v="128.30000000000001"/>
    <n v="107"/>
    <n v="124"/>
    <n v="168.5"/>
    <n v="165.4"/>
    <n v="86.3"/>
    <n v="134.4"/>
    <n v="119.1"/>
    <n v="132.30000000000001"/>
    <n v="131.5"/>
    <n v="134.69999999999999"/>
    <n v="124"/>
    <n v="118.6"/>
    <n v="123.2"/>
    <n v="121.6"/>
    <n v="115.1"/>
    <n v="120.4"/>
    <n v="117.1"/>
    <n v="109.1"/>
    <n v="117.3"/>
    <n v="126.5"/>
    <n v="112.9"/>
    <n v="116.2"/>
    <n v="123.5"/>
  </r>
  <r>
    <s v="Rural+Urban"/>
    <x v="2"/>
    <s v="September"/>
    <n v="124.6"/>
    <n v="130.4"/>
    <n v="118.7"/>
    <n v="128.9"/>
    <n v="111.9"/>
    <n v="128.4"/>
    <n v="162.19999999999999"/>
    <n v="150"/>
    <n v="90.4"/>
    <n v="128.4"/>
    <n v="120.7"/>
    <n v="132.5"/>
    <n v="131.19999999999999"/>
    <n v="132"/>
    <n v="127.9"/>
    <n v="123.4"/>
    <n v="127.2"/>
    <n v="121.6"/>
    <n v="120.4"/>
    <n v="122.6"/>
    <n v="119.8"/>
    <n v="111.3"/>
    <n v="118.3"/>
    <n v="125.7"/>
    <n v="113.4"/>
    <n v="117.5"/>
    <n v="125.4"/>
  </r>
  <r>
    <s v="Rural"/>
    <x v="2"/>
    <s v="October"/>
    <n v="125.6"/>
    <n v="130.4"/>
    <n v="120.8"/>
    <n v="129.4"/>
    <n v="115.8"/>
    <n v="133.19999999999999"/>
    <n v="157.69999999999999"/>
    <n v="154.19999999999999"/>
    <n v="93.7"/>
    <n v="126.6"/>
    <n v="122.3"/>
    <n v="133.1"/>
    <n v="131.80000000000001"/>
    <n v="131.5"/>
    <n v="131.1"/>
    <n v="127.3"/>
    <n v="130.6"/>
    <s v="NA"/>
    <n v="124.4"/>
    <n v="125.1"/>
    <n v="122"/>
    <n v="113.8"/>
    <n v="120.1"/>
    <n v="125.1"/>
    <n v="114.2"/>
    <n v="119.2"/>
    <n v="127.7"/>
  </r>
  <r>
    <s v="Urban"/>
    <x v="2"/>
    <s v="October"/>
    <n v="123.6"/>
    <n v="128.6"/>
    <n v="115.9"/>
    <n v="128.5"/>
    <n v="109"/>
    <n v="124.1"/>
    <n v="165.8"/>
    <n v="187.2"/>
    <n v="89.4"/>
    <n v="135.80000000000001"/>
    <n v="119.4"/>
    <n v="132.9"/>
    <n v="132.6"/>
    <n v="135.30000000000001"/>
    <n v="124.4"/>
    <n v="118.8"/>
    <n v="123.6"/>
    <n v="122.4"/>
    <n v="114.9"/>
    <n v="120.7"/>
    <n v="117.7"/>
    <n v="109.3"/>
    <n v="117.7"/>
    <n v="126.5"/>
    <n v="113.5"/>
    <n v="116.5"/>
    <n v="124.2"/>
  </r>
  <r>
    <s v="Rural+Urban"/>
    <x v="2"/>
    <s v="October"/>
    <n v="125"/>
    <n v="129.80000000000001"/>
    <n v="118.9"/>
    <n v="129.1"/>
    <n v="113.3"/>
    <n v="129"/>
    <n v="160.4"/>
    <n v="165.3"/>
    <n v="92.3"/>
    <n v="129.69999999999999"/>
    <n v="121.1"/>
    <n v="133"/>
    <n v="132.1"/>
    <n v="132.5"/>
    <n v="128.5"/>
    <n v="123.8"/>
    <n v="127.8"/>
    <n v="122.4"/>
    <n v="120.8"/>
    <n v="123"/>
    <n v="120.4"/>
    <n v="111.4"/>
    <n v="118.7"/>
    <n v="125.9"/>
    <n v="113.9"/>
    <n v="117.9"/>
    <n v="126.1"/>
  </r>
  <r>
    <s v="Rural"/>
    <x v="2"/>
    <s v="November"/>
    <n v="126.1"/>
    <n v="130.6"/>
    <n v="121.7"/>
    <n v="129.5"/>
    <n v="117.8"/>
    <n v="132.1"/>
    <n v="155.19999999999999"/>
    <n v="160.80000000000001"/>
    <n v="94.5"/>
    <n v="128.30000000000001"/>
    <n v="123.1"/>
    <n v="134.19999999999999"/>
    <n v="132.4"/>
    <n v="132.19999999999999"/>
    <n v="132.1"/>
    <n v="128.19999999999999"/>
    <n v="131.5"/>
    <s v="NA"/>
    <n v="125.6"/>
    <n v="125.6"/>
    <n v="122.6"/>
    <n v="114"/>
    <n v="120.9"/>
    <n v="125.8"/>
    <n v="114.2"/>
    <n v="119.6"/>
    <n v="128.30000000000001"/>
  </r>
  <r>
    <s v="Urban"/>
    <x v="2"/>
    <s v="November"/>
    <n v="124"/>
    <n v="129.80000000000001"/>
    <n v="121.5"/>
    <n v="128.6"/>
    <n v="110"/>
    <n v="123.7"/>
    <n v="164.6"/>
    <n v="191.6"/>
    <n v="90.8"/>
    <n v="137.1"/>
    <n v="119.8"/>
    <n v="133.69999999999999"/>
    <n v="133.30000000000001"/>
    <n v="137.6"/>
    <n v="125"/>
    <n v="119.3"/>
    <n v="124.2"/>
    <n v="122.9"/>
    <n v="115.1"/>
    <n v="121"/>
    <n v="118.1"/>
    <n v="109.3"/>
    <n v="117.9"/>
    <n v="126.6"/>
    <n v="113.3"/>
    <n v="116.6"/>
    <n v="124.6"/>
  </r>
  <r>
    <s v="Rural+Urban"/>
    <x v="2"/>
    <s v="November"/>
    <n v="125.4"/>
    <n v="130.30000000000001"/>
    <n v="121.6"/>
    <n v="129.19999999999999"/>
    <n v="114.9"/>
    <n v="128.19999999999999"/>
    <n v="158.4"/>
    <n v="171.2"/>
    <n v="93.3"/>
    <n v="131.19999999999999"/>
    <n v="121.7"/>
    <n v="134"/>
    <n v="132.69999999999999"/>
    <n v="133.6"/>
    <n v="129.30000000000001"/>
    <n v="124.5"/>
    <n v="128.6"/>
    <n v="122.9"/>
    <n v="121.6"/>
    <n v="123.4"/>
    <n v="120.9"/>
    <n v="111.5"/>
    <n v="119.2"/>
    <n v="126.3"/>
    <n v="113.8"/>
    <n v="118.1"/>
    <n v="126.6"/>
  </r>
  <r>
    <s v="Rural"/>
    <x v="2"/>
    <s v="December"/>
    <n v="126.3"/>
    <n v="131.30000000000001"/>
    <n v="123.3"/>
    <n v="129.80000000000001"/>
    <n v="118.3"/>
    <n v="131.6"/>
    <n v="145.5"/>
    <n v="162.1"/>
    <n v="95.4"/>
    <n v="128.9"/>
    <n v="123.3"/>
    <n v="135.1"/>
    <n v="131.4"/>
    <n v="133.1"/>
    <n v="132.5"/>
    <n v="128.5"/>
    <n v="131.9"/>
    <s v="NA"/>
    <n v="125.7"/>
    <n v="126"/>
    <n v="123.1"/>
    <n v="114"/>
    <n v="121.6"/>
    <n v="125.6"/>
    <n v="114.1"/>
    <n v="119.8"/>
    <n v="127.9"/>
  </r>
  <r>
    <s v="Urban"/>
    <x v="2"/>
    <s v="December"/>
    <n v="124.3"/>
    <n v="131.69999999999999"/>
    <n v="127.1"/>
    <n v="128.6"/>
    <n v="110"/>
    <n v="120.8"/>
    <n v="149"/>
    <n v="190.1"/>
    <n v="92.7"/>
    <n v="138.6"/>
    <n v="120.2"/>
    <n v="134.19999999999999"/>
    <n v="131.5"/>
    <n v="138.19999999999999"/>
    <n v="125.4"/>
    <n v="119.5"/>
    <n v="124.5"/>
    <n v="122.4"/>
    <n v="116"/>
    <n v="121"/>
    <n v="118.6"/>
    <n v="109.3"/>
    <n v="118.1"/>
    <n v="126.6"/>
    <n v="113.2"/>
    <n v="116.7"/>
    <n v="124"/>
  </r>
  <r>
    <s v="Rural+Urban"/>
    <x v="2"/>
    <s v="December"/>
    <n v="125.7"/>
    <n v="131.4"/>
    <n v="124.8"/>
    <n v="129.4"/>
    <n v="115.3"/>
    <n v="126.6"/>
    <n v="146.69999999999999"/>
    <n v="171.5"/>
    <n v="94.5"/>
    <n v="132.1"/>
    <n v="122"/>
    <n v="134.69999999999999"/>
    <n v="131.4"/>
    <n v="134.5"/>
    <n v="129.69999999999999"/>
    <n v="124.8"/>
    <n v="129"/>
    <n v="122.4"/>
    <n v="122"/>
    <n v="123.6"/>
    <n v="121.4"/>
    <n v="111.5"/>
    <n v="119.6"/>
    <n v="126.2"/>
    <n v="113.7"/>
    <n v="118.3"/>
    <n v="126.1"/>
  </r>
  <r>
    <s v="Rural"/>
    <x v="3"/>
    <s v="January"/>
    <n v="126.8"/>
    <n v="133.19999999999999"/>
    <n v="126.5"/>
    <n v="130.30000000000001"/>
    <n v="118.9"/>
    <n v="131.6"/>
    <n v="140.1"/>
    <n v="163.80000000000001"/>
    <n v="97.7"/>
    <n v="129.6"/>
    <n v="124.3"/>
    <n v="135.9"/>
    <n v="131.4"/>
    <n v="133.6"/>
    <n v="133.19999999999999"/>
    <n v="128.9"/>
    <n v="132.6"/>
    <s v="NA"/>
    <n v="126.2"/>
    <n v="126.6"/>
    <n v="123.7"/>
    <n v="113.6"/>
    <n v="121.4"/>
    <n v="126.2"/>
    <n v="114.9"/>
    <n v="120.1"/>
    <n v="128.1"/>
  </r>
  <r>
    <s v="Urban"/>
    <x v="3"/>
    <s v="January"/>
    <n v="124.7"/>
    <n v="135.9"/>
    <n v="132"/>
    <n v="129.19999999999999"/>
    <n v="109.7"/>
    <n v="119"/>
    <n v="144.1"/>
    <n v="184.2"/>
    <n v="96.7"/>
    <n v="139.5"/>
    <n v="120.5"/>
    <n v="134.69999999999999"/>
    <n v="131.19999999999999"/>
    <n v="139.5"/>
    <n v="125.8"/>
    <n v="119.8"/>
    <n v="124.9"/>
    <n v="123.4"/>
    <n v="116.9"/>
    <n v="121.6"/>
    <n v="119.1"/>
    <n v="108.9"/>
    <n v="118.5"/>
    <n v="126.4"/>
    <n v="114"/>
    <n v="116.8"/>
    <n v="124.2"/>
  </r>
  <r>
    <s v="Rural+Urban"/>
    <x v="3"/>
    <s v="January"/>
    <n v="126.1"/>
    <n v="134.1"/>
    <n v="128.6"/>
    <n v="129.9"/>
    <n v="115.5"/>
    <n v="125.7"/>
    <n v="141.5"/>
    <n v="170.7"/>
    <n v="97.4"/>
    <n v="132.9"/>
    <n v="122.7"/>
    <n v="135.30000000000001"/>
    <n v="131.30000000000001"/>
    <n v="135.19999999999999"/>
    <n v="130.30000000000001"/>
    <n v="125.1"/>
    <n v="129.5"/>
    <n v="123.4"/>
    <n v="122.7"/>
    <n v="124.2"/>
    <n v="122"/>
    <n v="111.1"/>
    <n v="119.8"/>
    <n v="126.3"/>
    <n v="114.5"/>
    <n v="118.5"/>
    <n v="126.3"/>
  </r>
  <r>
    <s v="Rural"/>
    <x v="3"/>
    <s v="February"/>
    <n v="127.1"/>
    <n v="133.69999999999999"/>
    <n v="127.7"/>
    <n v="130.69999999999999"/>
    <n v="118.5"/>
    <n v="130.4"/>
    <n v="130.9"/>
    <n v="162.80000000000001"/>
    <n v="98.7"/>
    <n v="130.6"/>
    <n v="124.8"/>
    <n v="136.4"/>
    <n v="130.30000000000001"/>
    <n v="134.4"/>
    <n v="133.9"/>
    <n v="129.80000000000001"/>
    <n v="133.4"/>
    <s v="NA"/>
    <n v="127.5"/>
    <n v="127.1"/>
    <n v="124.3"/>
    <n v="113.9"/>
    <n v="122.3"/>
    <n v="127.1"/>
    <n v="116.8"/>
    <n v="120.9"/>
    <n v="127.9"/>
  </r>
  <r>
    <s v="Urban"/>
    <x v="3"/>
    <s v="February"/>
    <n v="124.8"/>
    <n v="135.1"/>
    <n v="130.30000000000001"/>
    <n v="129.6"/>
    <n v="108.4"/>
    <n v="118.6"/>
    <n v="129.19999999999999"/>
    <n v="176.4"/>
    <n v="99.1"/>
    <n v="139.69999999999999"/>
    <n v="120.6"/>
    <n v="135.19999999999999"/>
    <n v="129.1"/>
    <n v="140"/>
    <n v="126.2"/>
    <n v="120.1"/>
    <n v="125.3"/>
    <n v="124.4"/>
    <n v="116"/>
    <n v="121.8"/>
    <n v="119.5"/>
    <n v="109.1"/>
    <n v="118.8"/>
    <n v="126.3"/>
    <n v="116.2"/>
    <n v="117.2"/>
    <n v="123.8"/>
  </r>
  <r>
    <s v="Rural+Urban"/>
    <x v="3"/>
    <s v="February"/>
    <n v="126.4"/>
    <n v="134.19999999999999"/>
    <n v="128.69999999999999"/>
    <n v="130.30000000000001"/>
    <n v="114.8"/>
    <n v="124.9"/>
    <n v="130.30000000000001"/>
    <n v="167.4"/>
    <n v="98.8"/>
    <n v="133.6"/>
    <n v="123"/>
    <n v="135.80000000000001"/>
    <n v="129.9"/>
    <n v="135.9"/>
    <n v="130.9"/>
    <n v="125.8"/>
    <n v="130.19999999999999"/>
    <n v="124.4"/>
    <n v="123.1"/>
    <n v="124.6"/>
    <n v="122.5"/>
    <n v="111.4"/>
    <n v="120.3"/>
    <n v="126.6"/>
    <n v="116.6"/>
    <n v="119.1"/>
    <n v="126"/>
  </r>
  <r>
    <s v="Rural"/>
    <x v="3"/>
    <s v="March"/>
    <n v="127.3"/>
    <n v="134.4"/>
    <n v="125.1"/>
    <n v="130.5"/>
    <n v="118.3"/>
    <n v="131.69999999999999"/>
    <n v="130.69999999999999"/>
    <n v="161.19999999999999"/>
    <n v="100.4"/>
    <n v="130.80000000000001"/>
    <n v="124.9"/>
    <n v="137"/>
    <n v="130.4"/>
    <n v="135"/>
    <n v="134.4"/>
    <n v="130.19999999999999"/>
    <n v="133.80000000000001"/>
    <s v="NA"/>
    <n v="127"/>
    <n v="127.7"/>
    <n v="124.8"/>
    <n v="113.6"/>
    <n v="122.5"/>
    <n v="127.5"/>
    <n v="117.4"/>
    <n v="121.1"/>
    <n v="128"/>
  </r>
  <r>
    <s v="Urban"/>
    <x v="3"/>
    <s v="March"/>
    <n v="124.8"/>
    <n v="136.30000000000001"/>
    <n v="123.7"/>
    <n v="129.69999999999999"/>
    <n v="107.9"/>
    <n v="119.9"/>
    <n v="128.1"/>
    <n v="170.3"/>
    <n v="101.8"/>
    <n v="140.1"/>
    <n v="120.7"/>
    <n v="135.4"/>
    <n v="128.9"/>
    <n v="140.6"/>
    <n v="126.4"/>
    <n v="120.3"/>
    <n v="125.5"/>
    <n v="124.9"/>
    <n v="114.8"/>
    <n v="122.3"/>
    <n v="119.7"/>
    <n v="108.5"/>
    <n v="119.1"/>
    <n v="126.4"/>
    <n v="117.1"/>
    <n v="117.3"/>
    <n v="123.8"/>
  </r>
  <r>
    <s v="Rural+Urban"/>
    <x v="3"/>
    <s v="March"/>
    <n v="126.5"/>
    <n v="135.1"/>
    <n v="124.6"/>
    <n v="130.19999999999999"/>
    <n v="114.5"/>
    <n v="126.2"/>
    <n v="129.80000000000001"/>
    <n v="164.3"/>
    <n v="100.9"/>
    <n v="133.9"/>
    <n v="123.1"/>
    <n v="136.30000000000001"/>
    <n v="129.80000000000001"/>
    <n v="136.5"/>
    <n v="131.30000000000001"/>
    <n v="126.1"/>
    <n v="130.5"/>
    <n v="124.9"/>
    <n v="122.4"/>
    <n v="125.1"/>
    <n v="122.9"/>
    <n v="110.9"/>
    <n v="120.6"/>
    <n v="126.9"/>
    <n v="117.3"/>
    <n v="119.3"/>
    <n v="126"/>
  </r>
  <r>
    <s v="Rural"/>
    <x v="3"/>
    <s v="April"/>
    <n v="127.4"/>
    <n v="135.4"/>
    <n v="123.4"/>
    <n v="131.30000000000001"/>
    <n v="118.2"/>
    <n v="138.1"/>
    <n v="134.1"/>
    <n v="162.69999999999999"/>
    <n v="105"/>
    <n v="131.4"/>
    <n v="125.4"/>
    <n v="137.4"/>
    <n v="131.80000000000001"/>
    <n v="135.5"/>
    <n v="135"/>
    <n v="130.6"/>
    <n v="134.4"/>
    <s v="NA"/>
    <n v="127"/>
    <n v="128"/>
    <n v="125.2"/>
    <n v="114.4"/>
    <n v="123.2"/>
    <n v="127.9"/>
    <n v="118.4"/>
    <n v="121.7"/>
    <n v="129"/>
  </r>
  <r>
    <s v="Urban"/>
    <x v="3"/>
    <s v="April"/>
    <n v="124.9"/>
    <n v="139.30000000000001"/>
    <n v="119.9"/>
    <n v="130.19999999999999"/>
    <n v="108.9"/>
    <n v="131.1"/>
    <n v="136.80000000000001"/>
    <n v="176.9"/>
    <n v="109.1"/>
    <n v="140.4"/>
    <n v="121.1"/>
    <n v="135.9"/>
    <n v="131.80000000000001"/>
    <n v="141.5"/>
    <n v="126.8"/>
    <n v="120.5"/>
    <n v="125.8"/>
    <n v="125.6"/>
    <n v="114.6"/>
    <n v="122.8"/>
    <n v="120"/>
    <n v="110"/>
    <n v="119.5"/>
    <n v="127.6"/>
    <n v="117.6"/>
    <n v="118.2"/>
    <n v="125.3"/>
  </r>
  <r>
    <s v="Rural+Urban"/>
    <x v="3"/>
    <s v="April"/>
    <n v="126.6"/>
    <n v="136.80000000000001"/>
    <n v="122"/>
    <n v="130.9"/>
    <n v="114.8"/>
    <n v="134.80000000000001"/>
    <n v="135"/>
    <n v="167.5"/>
    <n v="106.4"/>
    <n v="134.4"/>
    <n v="123.6"/>
    <n v="136.69999999999999"/>
    <n v="131.80000000000001"/>
    <n v="137.1"/>
    <n v="131.80000000000001"/>
    <n v="126.4"/>
    <n v="131"/>
    <n v="125.6"/>
    <n v="122.3"/>
    <n v="125.5"/>
    <n v="123.2"/>
    <n v="112.1"/>
    <n v="121.1"/>
    <n v="127.7"/>
    <n v="118.1"/>
    <n v="120"/>
    <n v="127.3"/>
  </r>
  <r>
    <s v="Rural"/>
    <x v="3"/>
    <s v="May"/>
    <n v="127.6"/>
    <n v="137.5"/>
    <n v="124.4"/>
    <n v="132.4"/>
    <n v="118.2"/>
    <n v="138.1"/>
    <n v="141.80000000000001"/>
    <n v="166"/>
    <n v="107.5"/>
    <n v="132.19999999999999"/>
    <n v="126.1"/>
    <n v="138.30000000000001"/>
    <n v="133.6"/>
    <n v="136"/>
    <n v="135.4"/>
    <n v="131.1"/>
    <n v="134.80000000000001"/>
    <s v="NA"/>
    <n v="127.4"/>
    <n v="128.5"/>
    <n v="125.8"/>
    <n v="115.1"/>
    <n v="123.6"/>
    <n v="129.1"/>
    <n v="119.7"/>
    <n v="122.5"/>
    <n v="130.30000000000001"/>
  </r>
  <r>
    <s v="Urban"/>
    <x v="3"/>
    <s v="May"/>
    <n v="125"/>
    <n v="142.1"/>
    <n v="127"/>
    <n v="130.4"/>
    <n v="109.6"/>
    <n v="133.5"/>
    <n v="151.4"/>
    <n v="182.8"/>
    <n v="111.1"/>
    <n v="141.5"/>
    <n v="121.5"/>
    <n v="136.30000000000001"/>
    <n v="134.6"/>
    <n v="142.19999999999999"/>
    <n v="127.2"/>
    <n v="120.7"/>
    <n v="126.2"/>
    <n v="126"/>
    <n v="115"/>
    <n v="123.2"/>
    <n v="120.3"/>
    <n v="110.7"/>
    <n v="119.8"/>
    <n v="128"/>
    <n v="118.5"/>
    <n v="118.7"/>
    <n v="126.6"/>
  </r>
  <r>
    <s v="Rural+Urban"/>
    <x v="3"/>
    <s v="May"/>
    <n v="126.8"/>
    <n v="139.1"/>
    <n v="125.4"/>
    <n v="131.69999999999999"/>
    <n v="115"/>
    <n v="136"/>
    <n v="145.1"/>
    <n v="171.7"/>
    <n v="108.7"/>
    <n v="135.30000000000001"/>
    <n v="124.2"/>
    <n v="137.4"/>
    <n v="134"/>
    <n v="137.69999999999999"/>
    <n v="132.19999999999999"/>
    <n v="126.8"/>
    <n v="131.4"/>
    <n v="126"/>
    <n v="122.7"/>
    <n v="126"/>
    <n v="123.7"/>
    <n v="112.8"/>
    <n v="121.5"/>
    <n v="128.5"/>
    <n v="119.2"/>
    <n v="120.7"/>
    <n v="128.6"/>
  </r>
  <r>
    <s v="Rural"/>
    <x v="3"/>
    <s v="June"/>
    <n v="128.6"/>
    <n v="138.6"/>
    <n v="126.6"/>
    <n v="133.6"/>
    <n v="118.6"/>
    <n v="137.4"/>
    <n v="152.5"/>
    <n v="169.2"/>
    <n v="108.8"/>
    <n v="133.1"/>
    <n v="126.4"/>
    <n v="139.19999999999999"/>
    <n v="136"/>
    <n v="137.19999999999999"/>
    <n v="136.30000000000001"/>
    <n v="131.6"/>
    <n v="135.6"/>
    <s v="NA"/>
    <n v="128"/>
    <n v="129.30000000000001"/>
    <n v="126.2"/>
    <n v="116.3"/>
    <n v="124.1"/>
    <n v="130.19999999999999"/>
    <n v="119.9"/>
    <n v="123.3"/>
    <n v="131.9"/>
  </r>
  <r>
    <s v="Urban"/>
    <x v="3"/>
    <s v="June"/>
    <n v="125.9"/>
    <n v="143.9"/>
    <n v="130.9"/>
    <n v="131"/>
    <n v="110.2"/>
    <n v="135.5"/>
    <n v="173.7"/>
    <n v="184.4"/>
    <n v="112"/>
    <n v="142.80000000000001"/>
    <n v="121.6"/>
    <n v="136.9"/>
    <n v="138.19999999999999"/>
    <n v="142.69999999999999"/>
    <n v="127.6"/>
    <n v="121.1"/>
    <n v="126.6"/>
    <n v="125.5"/>
    <n v="115.5"/>
    <n v="123.2"/>
    <n v="120.6"/>
    <n v="112.3"/>
    <n v="119.9"/>
    <n v="129.30000000000001"/>
    <n v="118.8"/>
    <n v="119.6"/>
    <n v="128.1"/>
  </r>
  <r>
    <s v="Rural+Urban"/>
    <x v="3"/>
    <s v="June"/>
    <n v="127.7"/>
    <n v="140.5"/>
    <n v="128.30000000000001"/>
    <n v="132.6"/>
    <n v="115.5"/>
    <n v="136.5"/>
    <n v="159.69999999999999"/>
    <n v="174.3"/>
    <n v="109.9"/>
    <n v="136.30000000000001"/>
    <n v="124.4"/>
    <n v="138.1"/>
    <n v="136.80000000000001"/>
    <n v="138.69999999999999"/>
    <n v="132.9"/>
    <n v="127.2"/>
    <n v="132"/>
    <n v="125.5"/>
    <n v="123.3"/>
    <n v="126.4"/>
    <n v="124.1"/>
    <n v="114.2"/>
    <n v="121.7"/>
    <n v="129.69999999999999"/>
    <n v="119.4"/>
    <n v="121.5"/>
    <n v="130.1"/>
  </r>
  <r>
    <s v="Rural"/>
    <x v="3"/>
    <s v="July"/>
    <n v="129.30000000000001"/>
    <n v="139.5"/>
    <n v="129.6"/>
    <n v="134.5"/>
    <n v="119.5"/>
    <n v="138.5"/>
    <n v="158.19999999999999"/>
    <n v="171.8"/>
    <n v="110.3"/>
    <n v="134.30000000000001"/>
    <n v="127.3"/>
    <n v="139.9"/>
    <n v="137.6"/>
    <n v="138"/>
    <n v="137.19999999999999"/>
    <n v="132.19999999999999"/>
    <n v="136.5"/>
    <s v="NA"/>
    <n v="128.19999999999999"/>
    <n v="130"/>
    <n v="126.7"/>
    <n v="116.4"/>
    <n v="125.2"/>
    <n v="130.80000000000001"/>
    <n v="120.9"/>
    <n v="123.8"/>
    <n v="133"/>
  </r>
  <r>
    <s v="Urban"/>
    <x v="3"/>
    <s v="July"/>
    <n v="126.8"/>
    <n v="144.19999999999999"/>
    <n v="136.6"/>
    <n v="131.80000000000001"/>
    <n v="111"/>
    <n v="137"/>
    <n v="179.5"/>
    <n v="188.4"/>
    <n v="113.3"/>
    <n v="143.9"/>
    <n v="121.7"/>
    <n v="137.5"/>
    <n v="139.80000000000001"/>
    <n v="142.9"/>
    <n v="127.9"/>
    <n v="121.1"/>
    <n v="126.9"/>
    <n v="126.4"/>
    <n v="115.5"/>
    <n v="123.5"/>
    <n v="120.9"/>
    <n v="111.7"/>
    <n v="120.3"/>
    <n v="130.80000000000001"/>
    <n v="120"/>
    <n v="119.9"/>
    <n v="129"/>
  </r>
  <r>
    <s v="Rural+Urban"/>
    <x v="3"/>
    <s v="July"/>
    <n v="128.5"/>
    <n v="141.19999999999999"/>
    <n v="132.30000000000001"/>
    <n v="133.5"/>
    <n v="116.4"/>
    <n v="137.80000000000001"/>
    <n v="165.4"/>
    <n v="177.4"/>
    <n v="111.3"/>
    <n v="137.5"/>
    <n v="125"/>
    <n v="138.80000000000001"/>
    <n v="138.4"/>
    <n v="139.30000000000001"/>
    <n v="133.5"/>
    <n v="127.6"/>
    <n v="132.69999999999999"/>
    <n v="126.4"/>
    <n v="123.4"/>
    <n v="126.9"/>
    <n v="124.5"/>
    <n v="113.9"/>
    <n v="122.4"/>
    <n v="130.80000000000001"/>
    <n v="120.5"/>
    <n v="121.9"/>
    <n v="131.1"/>
  </r>
  <r>
    <s v="Rural"/>
    <x v="3"/>
    <s v="August"/>
    <n v="130.1"/>
    <n v="138.80000000000001"/>
    <n v="130.30000000000001"/>
    <n v="135.30000000000001"/>
    <n v="119.9"/>
    <n v="140.19999999999999"/>
    <n v="156.9"/>
    <n v="172.2"/>
    <n v="112.1"/>
    <n v="134.9"/>
    <n v="128.1"/>
    <n v="140.69999999999999"/>
    <n v="138"/>
    <n v="138.9"/>
    <n v="137.80000000000001"/>
    <n v="133"/>
    <n v="137.1"/>
    <s v="NA"/>
    <n v="129.1"/>
    <n v="130.6"/>
    <n v="127"/>
    <n v="116"/>
    <n v="125.5"/>
    <n v="131.9"/>
    <n v="122"/>
    <n v="124.2"/>
    <n v="133.5"/>
  </r>
  <r>
    <s v="Urban"/>
    <x v="3"/>
    <s v="August"/>
    <n v="127.6"/>
    <n v="140.30000000000001"/>
    <n v="133.69999999999999"/>
    <n v="132.19999999999999"/>
    <n v="111.8"/>
    <n v="135.80000000000001"/>
    <n v="163.5"/>
    <n v="182.3"/>
    <n v="114.6"/>
    <n v="144.6"/>
    <n v="121.9"/>
    <n v="138.1"/>
    <n v="137.6"/>
    <n v="143.6"/>
    <n v="128.30000000000001"/>
    <n v="121.4"/>
    <n v="127.3"/>
    <n v="127.3"/>
    <n v="114.7"/>
    <n v="123.9"/>
    <n v="121.2"/>
    <n v="110.4"/>
    <n v="120.6"/>
    <n v="131.5"/>
    <n v="120.9"/>
    <n v="119.9"/>
    <n v="128.4"/>
  </r>
  <r>
    <s v="Rural+Urban"/>
    <x v="3"/>
    <s v="August"/>
    <n v="129.30000000000001"/>
    <n v="139.30000000000001"/>
    <n v="131.6"/>
    <n v="134.1"/>
    <n v="116.9"/>
    <n v="138.1"/>
    <n v="159.1"/>
    <n v="175.6"/>
    <n v="112.9"/>
    <n v="138.1"/>
    <n v="125.5"/>
    <n v="139.5"/>
    <n v="137.9"/>
    <n v="140.19999999999999"/>
    <n v="134.1"/>
    <n v="128.19999999999999"/>
    <n v="133.19999999999999"/>
    <n v="127.3"/>
    <n v="123.6"/>
    <n v="127.4"/>
    <n v="124.8"/>
    <n v="113.1"/>
    <n v="122.7"/>
    <n v="131.69999999999999"/>
    <n v="121.5"/>
    <n v="122.1"/>
    <n v="131.1"/>
  </r>
  <r>
    <s v="Rural"/>
    <x v="3"/>
    <s v="September"/>
    <n v="130.80000000000001"/>
    <n v="138.19999999999999"/>
    <n v="130.5"/>
    <n v="135.5"/>
    <n v="120.2"/>
    <n v="139.19999999999999"/>
    <n v="149.5"/>
    <n v="170.4"/>
    <n v="113.1"/>
    <n v="135.80000000000001"/>
    <n v="128.80000000000001"/>
    <n v="141.5"/>
    <n v="137.19999999999999"/>
    <n v="139.9"/>
    <n v="138.5"/>
    <n v="133.5"/>
    <n v="137.80000000000001"/>
    <s v="NA"/>
    <n v="129.69999999999999"/>
    <n v="131.1"/>
    <n v="127.8"/>
    <n v="117"/>
    <n v="125.7"/>
    <n v="132.19999999999999"/>
    <n v="122.8"/>
    <n v="124.9"/>
    <n v="133.4"/>
  </r>
  <r>
    <s v="Urban"/>
    <x v="3"/>
    <s v="September"/>
    <n v="128.1"/>
    <n v="137.69999999999999"/>
    <n v="130.6"/>
    <n v="132.6"/>
    <n v="111.9"/>
    <n v="132.5"/>
    <n v="152.9"/>
    <n v="173.6"/>
    <n v="115.1"/>
    <n v="144.80000000000001"/>
    <n v="122.1"/>
    <n v="138.80000000000001"/>
    <n v="135.69999999999999"/>
    <n v="143.9"/>
    <n v="128.69999999999999"/>
    <n v="121.6"/>
    <n v="127.7"/>
    <n v="127.9"/>
    <n v="114.8"/>
    <n v="124.3"/>
    <n v="121.4"/>
    <n v="111.8"/>
    <n v="120.8"/>
    <n v="131.6"/>
    <n v="121.2"/>
    <n v="120.5"/>
    <n v="128"/>
  </r>
  <r>
    <s v="Rural+Urban"/>
    <x v="3"/>
    <s v="September"/>
    <n v="129.9"/>
    <n v="138"/>
    <n v="130.5"/>
    <n v="134.4"/>
    <n v="117.2"/>
    <n v="136.1"/>
    <n v="150.69999999999999"/>
    <n v="171.5"/>
    <n v="113.8"/>
    <n v="138.80000000000001"/>
    <n v="126"/>
    <n v="140.19999999999999"/>
    <n v="136.6"/>
    <n v="141"/>
    <n v="134.6"/>
    <n v="128.6"/>
    <n v="133.80000000000001"/>
    <n v="127.9"/>
    <n v="124.1"/>
    <n v="127.9"/>
    <n v="125.4"/>
    <n v="114.3"/>
    <n v="122.9"/>
    <n v="131.80000000000001"/>
    <n v="122.1"/>
    <n v="122.8"/>
    <n v="130.9"/>
  </r>
  <r>
    <s v="Rural"/>
    <x v="3"/>
    <s v="October"/>
    <n v="131.30000000000001"/>
    <n v="137.6"/>
    <n v="130.1"/>
    <n v="136"/>
    <n v="120.8"/>
    <n v="138.4"/>
    <n v="149.19999999999999"/>
    <n v="170.2"/>
    <n v="113.4"/>
    <n v="136.30000000000001"/>
    <n v="128.69999999999999"/>
    <n v="142.4"/>
    <n v="137.4"/>
    <n v="140.9"/>
    <n v="139.6"/>
    <n v="134.30000000000001"/>
    <n v="138.80000000000001"/>
    <s v="NA"/>
    <n v="129.80000000000001"/>
    <n v="131.80000000000001"/>
    <n v="128.69999999999999"/>
    <n v="117.8"/>
    <n v="126.5"/>
    <n v="133"/>
    <n v="123"/>
    <n v="125.7"/>
    <n v="133.80000000000001"/>
  </r>
  <r>
    <s v="Urban"/>
    <x v="3"/>
    <s v="October"/>
    <n v="128.69999999999999"/>
    <n v="138.4"/>
    <n v="130.30000000000001"/>
    <n v="132.69999999999999"/>
    <n v="112.5"/>
    <n v="130.4"/>
    <n v="155.1"/>
    <n v="175.7"/>
    <n v="115.4"/>
    <n v="145.30000000000001"/>
    <n v="122.5"/>
    <n v="139.6"/>
    <n v="136.30000000000001"/>
    <n v="144.30000000000001"/>
    <n v="129.1"/>
    <n v="121.9"/>
    <n v="128"/>
    <n v="128.69999999999999"/>
    <n v="115.2"/>
    <n v="124.5"/>
    <n v="121.8"/>
    <n v="112.8"/>
    <n v="121.2"/>
    <n v="131.9"/>
    <n v="120.8"/>
    <n v="120.9"/>
    <n v="128.6"/>
  </r>
  <r>
    <s v="Rural+Urban"/>
    <x v="3"/>
    <s v="October"/>
    <n v="130.5"/>
    <n v="137.9"/>
    <n v="130.19999999999999"/>
    <n v="134.80000000000001"/>
    <n v="117.8"/>
    <n v="134.69999999999999"/>
    <n v="151.19999999999999"/>
    <n v="172.1"/>
    <n v="114.1"/>
    <n v="139.30000000000001"/>
    <n v="126.1"/>
    <n v="141.1"/>
    <n v="137"/>
    <n v="141.80000000000001"/>
    <n v="135.5"/>
    <n v="129.1"/>
    <n v="134.5"/>
    <n v="128.69999999999999"/>
    <n v="124.3"/>
    <n v="128.4"/>
    <n v="126.1"/>
    <n v="115.2"/>
    <n v="123.5"/>
    <n v="132.4"/>
    <n v="122.1"/>
    <n v="123.4"/>
    <n v="131.4"/>
  </r>
  <r>
    <s v="Rural"/>
    <x v="3"/>
    <s v="November"/>
    <n v="132"/>
    <n v="137.4"/>
    <n v="130.6"/>
    <n v="136.19999999999999"/>
    <n v="121.1"/>
    <n v="136.9"/>
    <n v="141.80000000000001"/>
    <n v="170"/>
    <n v="113.4"/>
    <n v="136.80000000000001"/>
    <n v="128.69999999999999"/>
    <n v="143.1"/>
    <n v="136.6"/>
    <n v="141.19999999999999"/>
    <n v="139.9"/>
    <n v="134.5"/>
    <n v="139.19999999999999"/>
    <s v="NA"/>
    <n v="130.30000000000001"/>
    <n v="132.1"/>
    <n v="129.1"/>
    <n v="118.2"/>
    <n v="126.9"/>
    <n v="133.69999999999999"/>
    <n v="123.5"/>
    <n v="126.1"/>
    <n v="133.6"/>
  </r>
  <r>
    <s v="Urban"/>
    <x v="3"/>
    <s v="November"/>
    <n v="130.19999999999999"/>
    <n v="138.5"/>
    <n v="134.1"/>
    <n v="132.9"/>
    <n v="112.6"/>
    <n v="130.80000000000001"/>
    <n v="142"/>
    <n v="174.9"/>
    <n v="115.6"/>
    <n v="145.4"/>
    <n v="122.7"/>
    <n v="140.30000000000001"/>
    <n v="135.19999999999999"/>
    <n v="144.30000000000001"/>
    <n v="129.6"/>
    <n v="122.1"/>
    <n v="128.5"/>
    <n v="129.1"/>
    <n v="116.2"/>
    <n v="124.7"/>
    <n v="122.1"/>
    <n v="113.4"/>
    <n v="121.7"/>
    <n v="132.1"/>
    <n v="121.3"/>
    <n v="121.3"/>
    <n v="128.5"/>
  </r>
  <r>
    <s v="Rural+Urban"/>
    <x v="3"/>
    <s v="November"/>
    <n v="131.4"/>
    <n v="137.80000000000001"/>
    <n v="132"/>
    <n v="135"/>
    <n v="118"/>
    <n v="134.1"/>
    <n v="141.9"/>
    <n v="171.7"/>
    <n v="114.1"/>
    <n v="139.69999999999999"/>
    <n v="126.2"/>
    <n v="141.80000000000001"/>
    <n v="136.1"/>
    <n v="142"/>
    <n v="135.80000000000001"/>
    <n v="129.30000000000001"/>
    <n v="135"/>
    <n v="129.1"/>
    <n v="125"/>
    <n v="128.6"/>
    <n v="126.4"/>
    <n v="115.7"/>
    <n v="124"/>
    <n v="132.80000000000001"/>
    <n v="122.6"/>
    <n v="123.8"/>
    <n v="131.19999999999999"/>
  </r>
  <r>
    <s v="Rural"/>
    <x v="3"/>
    <s v="December"/>
    <n v="132.6"/>
    <n v="137.30000000000001"/>
    <n v="131.6"/>
    <n v="136.30000000000001"/>
    <n v="121.6"/>
    <n v="135.6"/>
    <n v="127.5"/>
    <n v="167.9"/>
    <n v="113.8"/>
    <n v="137.5"/>
    <n v="129.1"/>
    <n v="143.6"/>
    <n v="134.69999999999999"/>
    <n v="142.4"/>
    <n v="140.4"/>
    <n v="135.19999999999999"/>
    <n v="139.69999999999999"/>
    <s v="NA"/>
    <n v="132"/>
    <n v="132.9"/>
    <n v="129.69999999999999"/>
    <n v="118.6"/>
    <n v="127.3"/>
    <n v="134.19999999999999"/>
    <n v="121.9"/>
    <n v="126.3"/>
    <n v="132.80000000000001"/>
  </r>
  <r>
    <s v="Urban"/>
    <x v="3"/>
    <s v="December"/>
    <n v="131.6"/>
    <n v="138.19999999999999"/>
    <n v="134.9"/>
    <n v="133.1"/>
    <n v="113.5"/>
    <n v="129.30000000000001"/>
    <n v="121.1"/>
    <n v="170.3"/>
    <n v="115.5"/>
    <n v="145.5"/>
    <n v="123.1"/>
    <n v="140.9"/>
    <n v="132.80000000000001"/>
    <n v="145"/>
    <n v="130"/>
    <n v="122.2"/>
    <n v="128.80000000000001"/>
    <n v="128.5"/>
    <n v="117.8"/>
    <n v="125"/>
    <n v="122.3"/>
    <n v="113.7"/>
    <n v="121.8"/>
    <n v="132.30000000000001"/>
    <n v="119.9"/>
    <n v="121.4"/>
    <n v="127.6"/>
  </r>
  <r>
    <s v="Rural+Urban"/>
    <x v="3"/>
    <s v="December"/>
    <n v="132.30000000000001"/>
    <n v="137.6"/>
    <n v="132.9"/>
    <n v="135.1"/>
    <n v="118.6"/>
    <n v="132.69999999999999"/>
    <n v="125.3"/>
    <n v="168.7"/>
    <n v="114.4"/>
    <n v="140.19999999999999"/>
    <n v="126.6"/>
    <n v="142.30000000000001"/>
    <n v="134"/>
    <n v="143.1"/>
    <n v="136.30000000000001"/>
    <n v="129.80000000000001"/>
    <n v="135.4"/>
    <n v="128.5"/>
    <n v="126.6"/>
    <n v="129.19999999999999"/>
    <n v="126.9"/>
    <n v="116"/>
    <n v="124.2"/>
    <n v="133.1"/>
    <n v="121.1"/>
    <n v="123.9"/>
    <n v="130.4"/>
  </r>
  <r>
    <s v="Rural"/>
    <x v="4"/>
    <s v="January"/>
    <n v="133.1"/>
    <n v="137.80000000000001"/>
    <n v="131.9"/>
    <n v="136.69999999999999"/>
    <n v="122"/>
    <n v="136"/>
    <n v="119.8"/>
    <n v="161.69999999999999"/>
    <n v="114.8"/>
    <n v="136.9"/>
    <n v="129"/>
    <n v="143.9"/>
    <n v="133.69999999999999"/>
    <n v="143.1"/>
    <n v="140.69999999999999"/>
    <n v="135.80000000000001"/>
    <n v="140"/>
    <s v="NA"/>
    <n v="132.1"/>
    <n v="133.19999999999999"/>
    <n v="129.9"/>
    <n v="119.1"/>
    <n v="127"/>
    <n v="134.6"/>
    <n v="122.3"/>
    <n v="126.6"/>
    <n v="132.4"/>
  </r>
  <r>
    <s v="Urban"/>
    <x v="4"/>
    <s v="January"/>
    <n v="132.19999999999999"/>
    <n v="138.9"/>
    <n v="132.6"/>
    <n v="133.1"/>
    <n v="114"/>
    <n v="129.6"/>
    <n v="118.7"/>
    <n v="155.1"/>
    <n v="117.3"/>
    <n v="144.9"/>
    <n v="123.2"/>
    <n v="141.6"/>
    <n v="132"/>
    <n v="145.6"/>
    <n v="130.19999999999999"/>
    <n v="122.3"/>
    <n v="129"/>
    <n v="129.6"/>
    <n v="118"/>
    <n v="125.1"/>
    <n v="122.6"/>
    <n v="115.2"/>
    <n v="122"/>
    <n v="132.4"/>
    <n v="120.9"/>
    <n v="122.1"/>
    <n v="127.8"/>
  </r>
  <r>
    <s v="Rural+Urban"/>
    <x v="4"/>
    <s v="January"/>
    <n v="132.80000000000001"/>
    <n v="138.19999999999999"/>
    <n v="132.19999999999999"/>
    <n v="135.4"/>
    <n v="119.1"/>
    <n v="133"/>
    <n v="119.4"/>
    <n v="159.5"/>
    <n v="115.6"/>
    <n v="139.6"/>
    <n v="126.6"/>
    <n v="142.80000000000001"/>
    <n v="133.1"/>
    <n v="143.80000000000001"/>
    <n v="136.6"/>
    <n v="130.19999999999999"/>
    <n v="135.6"/>
    <n v="129.6"/>
    <n v="126.8"/>
    <n v="129.4"/>
    <n v="127.1"/>
    <n v="117"/>
    <n v="124.2"/>
    <n v="133.30000000000001"/>
    <n v="121.7"/>
    <n v="124.4"/>
    <n v="130.30000000000001"/>
  </r>
  <r>
    <s v="Rural"/>
    <x v="4"/>
    <s v="February"/>
    <n v="133.30000000000001"/>
    <n v="138.30000000000001"/>
    <n v="129.30000000000001"/>
    <n v="137.19999999999999"/>
    <n v="122.1"/>
    <n v="138.69999999999999"/>
    <n v="119.1"/>
    <n v="156.9"/>
    <n v="116.2"/>
    <n v="136"/>
    <n v="129.4"/>
    <n v="144.4"/>
    <n v="133.6"/>
    <n v="143.69999999999999"/>
    <n v="140.9"/>
    <n v="135.80000000000001"/>
    <n v="140.19999999999999"/>
    <s v="NA"/>
    <n v="133.19999999999999"/>
    <n v="133.6"/>
    <n v="130.1"/>
    <n v="119.5"/>
    <n v="127.7"/>
    <n v="134.9"/>
    <n v="123.2"/>
    <n v="127"/>
    <n v="132.6"/>
  </r>
  <r>
    <s v="Urban"/>
    <x v="4"/>
    <s v="February"/>
    <n v="132.80000000000001"/>
    <n v="139.80000000000001"/>
    <n v="129.30000000000001"/>
    <n v="133.5"/>
    <n v="114.3"/>
    <n v="131.4"/>
    <n v="120.2"/>
    <n v="143.1"/>
    <n v="119.5"/>
    <n v="144"/>
    <n v="123.4"/>
    <n v="141.9"/>
    <n v="132.1"/>
    <n v="146.30000000000001"/>
    <n v="130.5"/>
    <n v="122.5"/>
    <n v="129.30000000000001"/>
    <n v="130.5"/>
    <n v="119.2"/>
    <n v="125.3"/>
    <n v="122.9"/>
    <n v="115.5"/>
    <n v="122.2"/>
    <n v="132.4"/>
    <n v="121.7"/>
    <n v="122.4"/>
    <n v="128.19999999999999"/>
  </r>
  <r>
    <s v="Rural+Urban"/>
    <x v="4"/>
    <s v="February"/>
    <n v="133.1"/>
    <n v="138.80000000000001"/>
    <n v="129.30000000000001"/>
    <n v="135.80000000000001"/>
    <n v="119.2"/>
    <n v="135.30000000000001"/>
    <n v="119.5"/>
    <n v="152.19999999999999"/>
    <n v="117.3"/>
    <n v="138.69999999999999"/>
    <n v="126.9"/>
    <n v="143.19999999999999"/>
    <n v="133"/>
    <n v="144.4"/>
    <n v="136.80000000000001"/>
    <n v="130.30000000000001"/>
    <n v="135.9"/>
    <n v="130.5"/>
    <n v="127.9"/>
    <n v="129.69999999999999"/>
    <n v="127.4"/>
    <n v="117.4"/>
    <n v="124.6"/>
    <n v="133.4"/>
    <n v="122.6"/>
    <n v="124.8"/>
    <n v="130.6"/>
  </r>
  <r>
    <s v="Rural"/>
    <x v="4"/>
    <s v="March"/>
    <n v="133.6"/>
    <n v="138.80000000000001"/>
    <n v="128.80000000000001"/>
    <n v="137.19999999999999"/>
    <n v="121.6"/>
    <n v="139.69999999999999"/>
    <n v="119.7"/>
    <n v="148"/>
    <n v="116.9"/>
    <n v="135.6"/>
    <n v="129.80000000000001"/>
    <n v="145.4"/>
    <n v="133.4"/>
    <n v="144.19999999999999"/>
    <n v="141.6"/>
    <n v="136.19999999999999"/>
    <n v="140.80000000000001"/>
    <s v="NA"/>
    <n v="134.19999999999999"/>
    <n v="134.1"/>
    <n v="130.6"/>
    <n v="119.8"/>
    <n v="128.30000000000001"/>
    <n v="135.19999999999999"/>
    <n v="123.3"/>
    <n v="127.4"/>
    <n v="132.80000000000001"/>
  </r>
  <r>
    <s v="Urban"/>
    <x v="4"/>
    <s v="March"/>
    <n v="132.69999999999999"/>
    <n v="139.4"/>
    <n v="128.4"/>
    <n v="134.9"/>
    <n v="114"/>
    <n v="136.80000000000001"/>
    <n v="122.2"/>
    <n v="135.80000000000001"/>
    <n v="120.3"/>
    <n v="142.6"/>
    <n v="123.6"/>
    <n v="142.4"/>
    <n v="132.6"/>
    <n v="147.5"/>
    <n v="130.80000000000001"/>
    <n v="122.8"/>
    <n v="129.6"/>
    <n v="131.1"/>
    <n v="120.8"/>
    <n v="125.6"/>
    <n v="123.1"/>
    <n v="115.6"/>
    <n v="122.4"/>
    <n v="132.80000000000001"/>
    <n v="121.7"/>
    <n v="122.6"/>
    <n v="128.69999999999999"/>
  </r>
  <r>
    <s v="Rural+Urban"/>
    <x v="4"/>
    <s v="March"/>
    <n v="133.30000000000001"/>
    <n v="139"/>
    <n v="128.6"/>
    <n v="136.30000000000001"/>
    <n v="118.8"/>
    <n v="138.30000000000001"/>
    <n v="120.5"/>
    <n v="143.9"/>
    <n v="118"/>
    <n v="137.9"/>
    <n v="127.2"/>
    <n v="144"/>
    <n v="133.1"/>
    <n v="145.1"/>
    <n v="137.30000000000001"/>
    <n v="130.6"/>
    <n v="136.4"/>
    <n v="131.1"/>
    <n v="129.1"/>
    <n v="130.1"/>
    <n v="127.8"/>
    <n v="117.6"/>
    <n v="125"/>
    <n v="133.80000000000001"/>
    <n v="122.6"/>
    <n v="125.1"/>
    <n v="130.9"/>
  </r>
  <r>
    <s v="Rural"/>
    <x v="4"/>
    <s v="April"/>
    <n v="133.19999999999999"/>
    <n v="138.69999999999999"/>
    <n v="127.1"/>
    <n v="137.69999999999999"/>
    <n v="121.3"/>
    <n v="141.80000000000001"/>
    <n v="121.5"/>
    <n v="144.5"/>
    <n v="117.4"/>
    <n v="134.1"/>
    <n v="130"/>
    <n v="145.5"/>
    <n v="133.5"/>
    <n v="144.4"/>
    <n v="142.4"/>
    <n v="136.80000000000001"/>
    <n v="141.6"/>
    <s v="NA"/>
    <n v="135"/>
    <n v="134.30000000000001"/>
    <n v="131"/>
    <n v="119.2"/>
    <n v="128.30000000000001"/>
    <n v="135.69999999999999"/>
    <n v="123.7"/>
    <n v="127.5"/>
    <n v="132.9"/>
  </r>
  <r>
    <s v="Urban"/>
    <x v="4"/>
    <s v="April"/>
    <n v="132.69999999999999"/>
    <n v="140.6"/>
    <n v="124.5"/>
    <n v="136.30000000000001"/>
    <n v="113.5"/>
    <n v="137.69999999999999"/>
    <n v="127.1"/>
    <n v="133.80000000000001"/>
    <n v="120.8"/>
    <n v="141.30000000000001"/>
    <n v="123.8"/>
    <n v="142.6"/>
    <n v="133.4"/>
    <n v="148"/>
    <n v="131.19999999999999"/>
    <n v="123"/>
    <n v="130"/>
    <n v="131.69999999999999"/>
    <n v="121.4"/>
    <n v="126"/>
    <n v="123.4"/>
    <n v="114.3"/>
    <n v="122.6"/>
    <n v="133.6"/>
    <n v="122.2"/>
    <n v="122.5"/>
    <n v="129.1"/>
  </r>
  <r>
    <s v="Rural+Urban"/>
    <x v="4"/>
    <s v="April"/>
    <n v="133"/>
    <n v="139.4"/>
    <n v="126.1"/>
    <n v="137.19999999999999"/>
    <n v="118.4"/>
    <n v="139.9"/>
    <n v="123.4"/>
    <n v="140.9"/>
    <n v="118.5"/>
    <n v="136.5"/>
    <n v="127.4"/>
    <n v="144.19999999999999"/>
    <n v="133.5"/>
    <n v="145.4"/>
    <n v="138"/>
    <n v="131.1"/>
    <n v="137"/>
    <n v="131.69999999999999"/>
    <n v="129.80000000000001"/>
    <n v="130.4"/>
    <n v="128.1"/>
    <n v="116.6"/>
    <n v="125.1"/>
    <n v="134.5"/>
    <n v="123.1"/>
    <n v="125.1"/>
    <n v="131.1"/>
  </r>
  <r>
    <s v="Rural"/>
    <x v="4"/>
    <s v="May"/>
    <n v="133.1"/>
    <n v="140.30000000000001"/>
    <n v="126.8"/>
    <n v="138.19999999999999"/>
    <n v="120.8"/>
    <n v="140.19999999999999"/>
    <n v="123.8"/>
    <n v="141.80000000000001"/>
    <n v="118.6"/>
    <n v="134"/>
    <n v="130.30000000000001"/>
    <n v="145.80000000000001"/>
    <n v="133.80000000000001"/>
    <n v="145.5"/>
    <n v="142.5"/>
    <n v="137.30000000000001"/>
    <n v="141.80000000000001"/>
    <s v="NA"/>
    <n v="135"/>
    <n v="134.9"/>
    <n v="131.4"/>
    <n v="119.4"/>
    <n v="129.4"/>
    <n v="136.30000000000001"/>
    <n v="123.7"/>
    <n v="127.9"/>
    <n v="133.30000000000001"/>
  </r>
  <r>
    <s v="Urban"/>
    <x v="4"/>
    <s v="May"/>
    <n v="132.6"/>
    <n v="144.1"/>
    <n v="125.6"/>
    <n v="136.80000000000001"/>
    <n v="113.4"/>
    <n v="135.19999999999999"/>
    <n v="129.19999999999999"/>
    <n v="131.5"/>
    <n v="121"/>
    <n v="139.9"/>
    <n v="123.8"/>
    <n v="142.9"/>
    <n v="133.6"/>
    <n v="148.30000000000001"/>
    <n v="131.5"/>
    <n v="123.2"/>
    <n v="130.19999999999999"/>
    <n v="132.1"/>
    <n v="120.1"/>
    <n v="126.5"/>
    <n v="123.6"/>
    <n v="114.3"/>
    <n v="122.8"/>
    <n v="133.80000000000001"/>
    <n v="122"/>
    <n v="122.6"/>
    <n v="129.30000000000001"/>
  </r>
  <r>
    <s v="Rural+Urban"/>
    <x v="4"/>
    <s v="May"/>
    <n v="132.9"/>
    <n v="141.6"/>
    <n v="126.3"/>
    <n v="137.69999999999999"/>
    <n v="118.1"/>
    <n v="137.9"/>
    <n v="125.6"/>
    <n v="138.30000000000001"/>
    <n v="119.4"/>
    <n v="136"/>
    <n v="127.6"/>
    <n v="144.5"/>
    <n v="133.69999999999999"/>
    <n v="146.19999999999999"/>
    <n v="138.19999999999999"/>
    <n v="131.4"/>
    <n v="137.19999999999999"/>
    <n v="132.1"/>
    <n v="129.4"/>
    <n v="130.9"/>
    <n v="128.4"/>
    <n v="116.7"/>
    <n v="125.7"/>
    <n v="134.80000000000001"/>
    <n v="123"/>
    <n v="125.3"/>
    <n v="131.4"/>
  </r>
  <r>
    <s v="Rural"/>
    <x v="4"/>
    <s v="June"/>
    <n v="133.5"/>
    <n v="143.69999999999999"/>
    <n v="128"/>
    <n v="138.6"/>
    <n v="120.9"/>
    <n v="140.9"/>
    <n v="128.80000000000001"/>
    <n v="140.19999999999999"/>
    <n v="118.9"/>
    <n v="133.5"/>
    <n v="130.4"/>
    <n v="146.5"/>
    <n v="134.9"/>
    <n v="145.80000000000001"/>
    <n v="143.1"/>
    <n v="137.69999999999999"/>
    <n v="142.30000000000001"/>
    <s v="NA"/>
    <n v="134.80000000000001"/>
    <n v="135.19999999999999"/>
    <n v="131.30000000000001"/>
    <n v="119.4"/>
    <n v="129.80000000000001"/>
    <n v="136.9"/>
    <n v="124.1"/>
    <n v="128.1"/>
    <n v="133.9"/>
  </r>
  <r>
    <s v="Urban"/>
    <x v="4"/>
    <s v="June"/>
    <n v="132.9"/>
    <n v="148.69999999999999"/>
    <n v="128.30000000000001"/>
    <n v="137.30000000000001"/>
    <n v="113.5"/>
    <n v="137.19999999999999"/>
    <n v="142.19999999999999"/>
    <n v="128.19999999999999"/>
    <n v="120.9"/>
    <n v="138.80000000000001"/>
    <n v="124.2"/>
    <n v="143.1"/>
    <n v="135.69999999999999"/>
    <n v="148.6"/>
    <n v="131.5"/>
    <n v="123.2"/>
    <n v="130.19999999999999"/>
    <n v="131.4"/>
    <n v="119"/>
    <n v="126.8"/>
    <n v="123.8"/>
    <n v="113.9"/>
    <n v="122.9"/>
    <n v="134.30000000000001"/>
    <n v="122.5"/>
    <n v="122.7"/>
    <n v="129.9"/>
  </r>
  <r>
    <s v="Rural+Urban"/>
    <x v="4"/>
    <s v="June"/>
    <n v="133.30000000000001"/>
    <n v="145.5"/>
    <n v="128.1"/>
    <n v="138.1"/>
    <n v="118.2"/>
    <n v="139.19999999999999"/>
    <n v="133.30000000000001"/>
    <n v="136.19999999999999"/>
    <n v="119.6"/>
    <n v="135.30000000000001"/>
    <n v="127.8"/>
    <n v="144.9"/>
    <n v="135.19999999999999"/>
    <n v="146.5"/>
    <n v="138.5"/>
    <n v="131.69999999999999"/>
    <n v="137.5"/>
    <n v="131.4"/>
    <n v="128.80000000000001"/>
    <n v="131.19999999999999"/>
    <n v="128.5"/>
    <n v="116.5"/>
    <n v="125.9"/>
    <n v="135.4"/>
    <n v="123.4"/>
    <n v="125.5"/>
    <n v="132"/>
  </r>
  <r>
    <s v="Rural"/>
    <x v="4"/>
    <s v="July"/>
    <n v="134"/>
    <n v="144.19999999999999"/>
    <n v="129.80000000000001"/>
    <n v="139"/>
    <n v="120.9"/>
    <n v="143.9"/>
    <n v="151.5"/>
    <n v="138.1"/>
    <n v="120"/>
    <n v="133.9"/>
    <n v="131.4"/>
    <n v="147.69999999999999"/>
    <n v="138.5"/>
    <n v="147.4"/>
    <n v="144.30000000000001"/>
    <n v="138.1"/>
    <n v="143.5"/>
    <s v="NA"/>
    <n v="135.30000000000001"/>
    <n v="136.1"/>
    <n v="132.1"/>
    <n v="119.1"/>
    <n v="130.6"/>
    <n v="138.6"/>
    <n v="124.4"/>
    <n v="128.6"/>
    <n v="136.19999999999999"/>
  </r>
  <r>
    <s v="Urban"/>
    <x v="4"/>
    <s v="July"/>
    <n v="132.80000000000001"/>
    <n v="148.4"/>
    <n v="129.4"/>
    <n v="137.69999999999999"/>
    <n v="113.4"/>
    <n v="139.4"/>
    <n v="175.1"/>
    <n v="124.7"/>
    <n v="121.5"/>
    <n v="137.80000000000001"/>
    <n v="124.4"/>
    <n v="143.69999999999999"/>
    <n v="139.80000000000001"/>
    <n v="150.5"/>
    <n v="131.6"/>
    <n v="123.7"/>
    <n v="130.4"/>
    <n v="132.6"/>
    <n v="119.7"/>
    <n v="127.2"/>
    <n v="125"/>
    <n v="113.2"/>
    <n v="123.5"/>
    <n v="135.5"/>
    <n v="122.4"/>
    <n v="123"/>
    <n v="131.80000000000001"/>
  </r>
  <r>
    <s v="Rural+Urban"/>
    <x v="4"/>
    <s v="July"/>
    <n v="133.6"/>
    <n v="145.69999999999999"/>
    <n v="129.6"/>
    <n v="138.5"/>
    <n v="118.1"/>
    <n v="141.80000000000001"/>
    <n v="159.5"/>
    <n v="133.6"/>
    <n v="120.5"/>
    <n v="135.19999999999999"/>
    <n v="128.5"/>
    <n v="145.80000000000001"/>
    <n v="139"/>
    <n v="148.19999999999999"/>
    <n v="139.30000000000001"/>
    <n v="132.1"/>
    <n v="138.30000000000001"/>
    <n v="132.6"/>
    <n v="129.4"/>
    <n v="131.9"/>
    <n v="129.4"/>
    <n v="116"/>
    <n v="126.6"/>
    <n v="136.80000000000001"/>
    <n v="123.6"/>
    <n v="125.9"/>
    <n v="134.19999999999999"/>
  </r>
  <r>
    <s v="Rural"/>
    <x v="4"/>
    <s v="August"/>
    <n v="134.80000000000001"/>
    <n v="143.1"/>
    <n v="130"/>
    <n v="139.4"/>
    <n v="120.5"/>
    <n v="148"/>
    <n v="162.9"/>
    <n v="137.4"/>
    <n v="120.8"/>
    <n v="134.69999999999999"/>
    <n v="131.6"/>
    <n v="148.69999999999999"/>
    <n v="140.6"/>
    <n v="149"/>
    <n v="145.30000000000001"/>
    <n v="139.19999999999999"/>
    <n v="144.5"/>
    <s v="NA"/>
    <n v="136.4"/>
    <n v="137.30000000000001"/>
    <n v="133"/>
    <n v="120.3"/>
    <n v="131.5"/>
    <n v="140.19999999999999"/>
    <n v="125.4"/>
    <n v="129.69999999999999"/>
    <n v="137.80000000000001"/>
  </r>
  <r>
    <s v="Urban"/>
    <x v="4"/>
    <s v="August"/>
    <n v="133.19999999999999"/>
    <n v="143.9"/>
    <n v="128.30000000000001"/>
    <n v="138.30000000000001"/>
    <n v="114.1"/>
    <n v="142.69999999999999"/>
    <n v="179.8"/>
    <n v="123.5"/>
    <n v="122.1"/>
    <n v="137.5"/>
    <n v="124.6"/>
    <n v="144.5"/>
    <n v="140.5"/>
    <n v="152.1"/>
    <n v="132.69999999999999"/>
    <n v="124.3"/>
    <n v="131.4"/>
    <n v="134.4"/>
    <n v="118.9"/>
    <n v="127.7"/>
    <n v="125.7"/>
    <n v="114.6"/>
    <n v="124.1"/>
    <n v="135.69999999999999"/>
    <n v="123.3"/>
    <n v="123.8"/>
    <n v="132.69999999999999"/>
  </r>
  <r>
    <s v="Rural+Urban"/>
    <x v="4"/>
    <s v="August"/>
    <n v="134.30000000000001"/>
    <n v="143.4"/>
    <n v="129.30000000000001"/>
    <n v="139"/>
    <n v="118.1"/>
    <n v="145.5"/>
    <n v="168.6"/>
    <n v="132.69999999999999"/>
    <n v="121.2"/>
    <n v="135.6"/>
    <n v="128.69999999999999"/>
    <n v="146.80000000000001"/>
    <n v="140.6"/>
    <n v="149.80000000000001"/>
    <n v="140.30000000000001"/>
    <n v="133"/>
    <n v="139.30000000000001"/>
    <n v="134.4"/>
    <n v="129.80000000000001"/>
    <n v="132.80000000000001"/>
    <n v="130.19999999999999"/>
    <n v="117.3"/>
    <n v="127.3"/>
    <n v="137.6"/>
    <n v="124.5"/>
    <n v="126.8"/>
    <n v="135.4"/>
  </r>
  <r>
    <s v="Rural"/>
    <x v="4"/>
    <s v="September"/>
    <n v="135.19999999999999"/>
    <n v="142"/>
    <n v="130.5"/>
    <n v="140.19999999999999"/>
    <n v="120.7"/>
    <n v="147.80000000000001"/>
    <n v="154.5"/>
    <n v="137.1"/>
    <n v="121"/>
    <n v="134.69999999999999"/>
    <n v="131.69999999999999"/>
    <n v="149.30000000000001"/>
    <n v="139.6"/>
    <n v="149.80000000000001"/>
    <n v="146.1"/>
    <n v="139.69999999999999"/>
    <n v="145.19999999999999"/>
    <s v="NA"/>
    <n v="137.4"/>
    <n v="137.9"/>
    <n v="133.4"/>
    <n v="121.2"/>
    <n v="132.30000000000001"/>
    <n v="139.6"/>
    <n v="126.7"/>
    <n v="130.30000000000001"/>
    <n v="137.6"/>
  </r>
  <r>
    <s v="Urban"/>
    <x v="4"/>
    <s v="September"/>
    <n v="133.6"/>
    <n v="143"/>
    <n v="129.69999999999999"/>
    <n v="138.69999999999999"/>
    <n v="114.5"/>
    <n v="137.5"/>
    <n v="160.69999999999999"/>
    <n v="124.5"/>
    <n v="122.4"/>
    <n v="137.30000000000001"/>
    <n v="124.8"/>
    <n v="145"/>
    <n v="138"/>
    <n v="153.6"/>
    <n v="133.30000000000001"/>
    <n v="124.6"/>
    <n v="132"/>
    <n v="135.69999999999999"/>
    <n v="120.6"/>
    <n v="128.1"/>
    <n v="126.1"/>
    <n v="115.7"/>
    <n v="124.5"/>
    <n v="135.9"/>
    <n v="124.4"/>
    <n v="124.5"/>
    <n v="132.4"/>
  </r>
  <r>
    <s v="Rural+Urban"/>
    <x v="4"/>
    <s v="September"/>
    <n v="134.69999999999999"/>
    <n v="142.4"/>
    <n v="130.19999999999999"/>
    <n v="139.6"/>
    <n v="118.4"/>
    <n v="143"/>
    <n v="156.6"/>
    <n v="132.9"/>
    <n v="121.5"/>
    <n v="135.6"/>
    <n v="128.80000000000001"/>
    <n v="147.30000000000001"/>
    <n v="139"/>
    <n v="150.80000000000001"/>
    <n v="141.1"/>
    <n v="133.4"/>
    <n v="140"/>
    <n v="135.69999999999999"/>
    <n v="131"/>
    <n v="133.30000000000001"/>
    <n v="130.6"/>
    <n v="118.3"/>
    <n v="127.9"/>
    <n v="137.4"/>
    <n v="125.7"/>
    <n v="127.5"/>
    <n v="135.19999999999999"/>
  </r>
  <r>
    <s v="Rural"/>
    <x v="4"/>
    <s v="October"/>
    <n v="135.9"/>
    <n v="141.9"/>
    <n v="131"/>
    <n v="141.5"/>
    <n v="121.4"/>
    <n v="146.69999999999999"/>
    <n v="157.1"/>
    <n v="136.4"/>
    <n v="121.4"/>
    <n v="135.6"/>
    <n v="131.30000000000001"/>
    <n v="150.30000000000001"/>
    <n v="140.4"/>
    <n v="150.5"/>
    <n v="147.19999999999999"/>
    <n v="140.6"/>
    <n v="146.19999999999999"/>
    <s v="NA"/>
    <n v="138.1"/>
    <n v="138.4"/>
    <n v="134.19999999999999"/>
    <n v="121"/>
    <n v="133"/>
    <n v="140.1"/>
    <n v="127.4"/>
    <n v="130.69999999999999"/>
    <n v="138.30000000000001"/>
  </r>
  <r>
    <s v="Urban"/>
    <x v="4"/>
    <s v="October"/>
    <n v="133.9"/>
    <n v="142.80000000000001"/>
    <n v="131.4"/>
    <n v="139.1"/>
    <n v="114.9"/>
    <n v="135.6"/>
    <n v="173.2"/>
    <n v="124.1"/>
    <n v="122.6"/>
    <n v="137.80000000000001"/>
    <n v="125.1"/>
    <n v="145.5"/>
    <n v="139.69999999999999"/>
    <n v="154.6"/>
    <n v="134"/>
    <n v="124.9"/>
    <n v="132.6"/>
    <n v="137.30000000000001"/>
    <n v="122.6"/>
    <n v="128.30000000000001"/>
    <n v="126.6"/>
    <n v="115"/>
    <n v="124.8"/>
    <n v="136.30000000000001"/>
    <n v="124.6"/>
    <n v="124.5"/>
    <n v="133.5"/>
  </r>
  <r>
    <s v="Rural+Urban"/>
    <x v="4"/>
    <s v="October"/>
    <n v="135.30000000000001"/>
    <n v="142.19999999999999"/>
    <n v="131.19999999999999"/>
    <n v="140.6"/>
    <n v="119"/>
    <n v="141.5"/>
    <n v="162.6"/>
    <n v="132.30000000000001"/>
    <n v="121.8"/>
    <n v="136.30000000000001"/>
    <n v="128.69999999999999"/>
    <n v="148.1"/>
    <n v="140.1"/>
    <n v="151.6"/>
    <n v="142"/>
    <n v="134.1"/>
    <n v="140.80000000000001"/>
    <n v="137.30000000000001"/>
    <n v="132.19999999999999"/>
    <n v="133.6"/>
    <n v="131.30000000000001"/>
    <n v="117.8"/>
    <n v="128.4"/>
    <n v="137.9"/>
    <n v="126.2"/>
    <n v="127.7"/>
    <n v="136.1"/>
  </r>
  <r>
    <s v="Rural"/>
    <x v="4"/>
    <s v="November"/>
    <n v="136.30000000000001"/>
    <n v="142.5"/>
    <n v="140.5"/>
    <n v="141.5"/>
    <n v="121.6"/>
    <n v="147.30000000000001"/>
    <n v="168"/>
    <n v="135.80000000000001"/>
    <n v="122.5"/>
    <n v="136"/>
    <n v="131.9"/>
    <n v="151.4"/>
    <n v="142.4"/>
    <n v="152.1"/>
    <n v="148.19999999999999"/>
    <n v="141.5"/>
    <n v="147.30000000000001"/>
    <s v="NA"/>
    <n v="141.1"/>
    <n v="139.4"/>
    <n v="135.80000000000001"/>
    <n v="121.6"/>
    <n v="133.69999999999999"/>
    <n v="141.5"/>
    <n v="128.1"/>
    <n v="131.69999999999999"/>
    <n v="140"/>
  </r>
  <r>
    <s v="Urban"/>
    <x v="4"/>
    <s v="November"/>
    <n v="134.30000000000001"/>
    <n v="142.1"/>
    <n v="146.69999999999999"/>
    <n v="139.5"/>
    <n v="115.2"/>
    <n v="136.4"/>
    <n v="185.2"/>
    <n v="122.2"/>
    <n v="123.9"/>
    <n v="138.30000000000001"/>
    <n v="125.4"/>
    <n v="146"/>
    <n v="141.5"/>
    <n v="156.19999999999999"/>
    <n v="135"/>
    <n v="125.4"/>
    <n v="133.5"/>
    <n v="138.6"/>
    <n v="125.7"/>
    <n v="128.80000000000001"/>
    <n v="127.4"/>
    <n v="115.3"/>
    <n v="125.1"/>
    <n v="136.6"/>
    <n v="124.9"/>
    <n v="124.9"/>
    <n v="134.80000000000001"/>
  </r>
  <r>
    <s v="Rural+Urban"/>
    <x v="4"/>
    <s v="November"/>
    <n v="135.69999999999999"/>
    <n v="142.4"/>
    <n v="142.9"/>
    <n v="140.80000000000001"/>
    <n v="119.2"/>
    <n v="142.19999999999999"/>
    <n v="173.8"/>
    <n v="131.19999999999999"/>
    <n v="123"/>
    <n v="136.80000000000001"/>
    <n v="129.19999999999999"/>
    <n v="148.9"/>
    <n v="142.1"/>
    <n v="153.19999999999999"/>
    <n v="143"/>
    <n v="134.80000000000001"/>
    <n v="141.80000000000001"/>
    <n v="138.6"/>
    <n v="135.30000000000001"/>
    <n v="134.4"/>
    <n v="132.6"/>
    <n v="118.3"/>
    <n v="128.9"/>
    <n v="138.6"/>
    <n v="126.8"/>
    <n v="128.4"/>
    <n v="137.6"/>
  </r>
  <r>
    <s v="Rural"/>
    <x v="4"/>
    <s v="December"/>
    <n v="136.4"/>
    <n v="143.69999999999999"/>
    <n v="144.80000000000001"/>
    <n v="141.9"/>
    <n v="123.1"/>
    <n v="147.19999999999999"/>
    <n v="161"/>
    <n v="133.80000000000001"/>
    <n v="121.9"/>
    <n v="135.80000000000001"/>
    <n v="131.1"/>
    <n v="151.4"/>
    <n v="141.5"/>
    <n v="153.19999999999999"/>
    <n v="148"/>
    <n v="141.9"/>
    <n v="147.19999999999999"/>
    <s v="NA"/>
    <n v="142.6"/>
    <n v="139.5"/>
    <n v="136.1"/>
    <n v="122"/>
    <n v="133.4"/>
    <n v="141.1"/>
    <n v="127.8"/>
    <n v="131.9"/>
    <n v="139.80000000000001"/>
  </r>
  <r>
    <s v="Urban"/>
    <x v="4"/>
    <s v="December"/>
    <n v="134.4"/>
    <n v="142.6"/>
    <n v="145.9"/>
    <n v="139.5"/>
    <n v="115.9"/>
    <n v="135"/>
    <n v="163.19999999999999"/>
    <n v="119.8"/>
    <n v="120.7"/>
    <n v="139.69999999999999"/>
    <n v="125.7"/>
    <n v="146.30000000000001"/>
    <n v="138.80000000000001"/>
    <n v="157"/>
    <n v="135.6"/>
    <n v="125.6"/>
    <n v="134"/>
    <n v="139.1"/>
    <n v="126.8"/>
    <n v="129.30000000000001"/>
    <n v="128.19999999999999"/>
    <n v="115.3"/>
    <n v="125.6"/>
    <n v="136.69999999999999"/>
    <n v="124.6"/>
    <n v="125.1"/>
    <n v="134.1"/>
  </r>
  <r>
    <s v="Rural+Urban"/>
    <x v="4"/>
    <s v="December"/>
    <n v="135.80000000000001"/>
    <n v="143.30000000000001"/>
    <n v="145.19999999999999"/>
    <n v="141"/>
    <n v="120.5"/>
    <n v="141.5"/>
    <n v="161.69999999999999"/>
    <n v="129.1"/>
    <n v="121.5"/>
    <n v="137.1"/>
    <n v="128.80000000000001"/>
    <n v="149"/>
    <n v="140.5"/>
    <n v="154.19999999999999"/>
    <n v="143.1"/>
    <n v="135.1"/>
    <n v="142"/>
    <n v="139.1"/>
    <n v="136.6"/>
    <n v="134.69999999999999"/>
    <n v="133.1"/>
    <n v="118.5"/>
    <n v="129"/>
    <n v="138.5"/>
    <n v="126.5"/>
    <n v="128.6"/>
    <n v="137.19999999999999"/>
  </r>
  <r>
    <s v="Rural"/>
    <x v="5"/>
    <s v="January"/>
    <n v="136.6"/>
    <n v="144.4"/>
    <n v="143.80000000000001"/>
    <n v="142"/>
    <n v="123.2"/>
    <n v="147.9"/>
    <n v="152.1"/>
    <n v="131.80000000000001"/>
    <n v="119.5"/>
    <n v="136"/>
    <n v="131.19999999999999"/>
    <n v="151.80000000000001"/>
    <n v="140.4"/>
    <n v="153.6"/>
    <n v="148.30000000000001"/>
    <n v="142.30000000000001"/>
    <n v="147.5"/>
    <s v="NA"/>
    <n v="142.30000000000001"/>
    <n v="139.80000000000001"/>
    <n v="136"/>
    <n v="122.7"/>
    <n v="134.30000000000001"/>
    <n v="141.6"/>
    <n v="128.6"/>
    <n v="132.30000000000001"/>
    <n v="139.30000000000001"/>
  </r>
  <r>
    <s v="Urban"/>
    <x v="5"/>
    <s v="January"/>
    <n v="134.6"/>
    <n v="143.69999999999999"/>
    <n v="143.6"/>
    <n v="139.6"/>
    <n v="116.4"/>
    <n v="133.80000000000001"/>
    <n v="150.5"/>
    <n v="118.4"/>
    <n v="117.3"/>
    <n v="140.5"/>
    <n v="125.9"/>
    <n v="146.80000000000001"/>
    <n v="137.19999999999999"/>
    <n v="157.69999999999999"/>
    <n v="136"/>
    <n v="125.9"/>
    <n v="134.4"/>
    <n v="140.4"/>
    <n v="127.3"/>
    <n v="129.5"/>
    <n v="129"/>
    <n v="116.3"/>
    <n v="126.2"/>
    <n v="137.1"/>
    <n v="125.5"/>
    <n v="125.8"/>
    <n v="134.1"/>
  </r>
  <r>
    <s v="Rural+Urban"/>
    <x v="5"/>
    <s v="January"/>
    <n v="136"/>
    <n v="144.19999999999999"/>
    <n v="143.69999999999999"/>
    <n v="141.1"/>
    <n v="120.7"/>
    <n v="141.30000000000001"/>
    <n v="151.6"/>
    <n v="127.3"/>
    <n v="118.8"/>
    <n v="137.5"/>
    <n v="129"/>
    <n v="149.5"/>
    <n v="139.19999999999999"/>
    <n v="154.69999999999999"/>
    <n v="143.5"/>
    <n v="135.5"/>
    <n v="142.30000000000001"/>
    <n v="140.4"/>
    <n v="136.6"/>
    <n v="134.9"/>
    <n v="133.30000000000001"/>
    <n v="119.3"/>
    <n v="129.69999999999999"/>
    <n v="139"/>
    <n v="127.3"/>
    <n v="129.1"/>
    <n v="136.9"/>
  </r>
  <r>
    <s v="Rural"/>
    <x v="5"/>
    <s v="February"/>
    <n v="136.4"/>
    <n v="143.69999999999999"/>
    <n v="140.6"/>
    <n v="141.5"/>
    <n v="122.9"/>
    <n v="149.4"/>
    <n v="142.4"/>
    <n v="130.19999999999999"/>
    <n v="117.9"/>
    <n v="135.6"/>
    <n v="130.5"/>
    <n v="151.69999999999999"/>
    <n v="138.69999999999999"/>
    <n v="153.30000000000001"/>
    <n v="148.69999999999999"/>
    <n v="142.4"/>
    <n v="147.80000000000001"/>
    <s v="NA"/>
    <n v="142.4"/>
    <n v="139.9"/>
    <n v="136.19999999999999"/>
    <n v="123.3"/>
    <n v="134.30000000000001"/>
    <n v="141.5"/>
    <n v="128.80000000000001"/>
    <n v="132.5"/>
    <n v="138.5"/>
  </r>
  <r>
    <s v="Urban"/>
    <x v="5"/>
    <s v="February"/>
    <n v="134.80000000000001"/>
    <n v="143"/>
    <n v="139.9"/>
    <n v="139.9"/>
    <n v="116.2"/>
    <n v="135.5"/>
    <n v="136.9"/>
    <n v="117"/>
    <n v="115.4"/>
    <n v="140.69999999999999"/>
    <n v="125.9"/>
    <n v="147.1"/>
    <n v="135.6"/>
    <n v="159.30000000000001"/>
    <n v="136.30000000000001"/>
    <n v="126.1"/>
    <n v="134.69999999999999"/>
    <n v="141.30000000000001"/>
    <n v="127.3"/>
    <n v="129.9"/>
    <n v="129.80000000000001"/>
    <n v="117.4"/>
    <n v="126.5"/>
    <n v="137.19999999999999"/>
    <n v="126.2"/>
    <n v="126.5"/>
    <n v="134"/>
  </r>
  <r>
    <s v="Rural+Urban"/>
    <x v="5"/>
    <s v="February"/>
    <n v="135.9"/>
    <n v="143.5"/>
    <n v="140.30000000000001"/>
    <n v="140.9"/>
    <n v="120.4"/>
    <n v="142.9"/>
    <n v="140.5"/>
    <n v="125.8"/>
    <n v="117.1"/>
    <n v="137.30000000000001"/>
    <n v="128.6"/>
    <n v="149.6"/>
    <n v="137.6"/>
    <n v="154.9"/>
    <n v="143.80000000000001"/>
    <n v="135.6"/>
    <n v="142.6"/>
    <n v="141.30000000000001"/>
    <n v="136.69999999999999"/>
    <n v="135.19999999999999"/>
    <n v="133.80000000000001"/>
    <n v="120.2"/>
    <n v="129.9"/>
    <n v="139"/>
    <n v="127.7"/>
    <n v="129.6"/>
    <n v="136.4"/>
  </r>
  <r>
    <s v="Rural"/>
    <x v="5"/>
    <s v="March"/>
    <n v="136.80000000000001"/>
    <n v="143.80000000000001"/>
    <n v="140"/>
    <n v="142"/>
    <n v="123.2"/>
    <n v="152.9"/>
    <n v="138"/>
    <n v="129.30000000000001"/>
    <n v="117.1"/>
    <n v="136.30000000000001"/>
    <n v="131.19999999999999"/>
    <n v="152.80000000000001"/>
    <n v="138.6"/>
    <n v="155.1"/>
    <n v="149.19999999999999"/>
    <n v="143"/>
    <n v="148.30000000000001"/>
    <s v="NA"/>
    <n v="142.6"/>
    <n v="139.9"/>
    <n v="136.69999999999999"/>
    <n v="124.6"/>
    <n v="135.1"/>
    <n v="142.69999999999999"/>
    <n v="129.30000000000001"/>
    <n v="133.30000000000001"/>
    <n v="138.69999999999999"/>
  </r>
  <r>
    <s v="Urban"/>
    <x v="5"/>
    <s v="March"/>
    <n v="135"/>
    <n v="143.1"/>
    <n v="135.5"/>
    <n v="139.9"/>
    <n v="116.5"/>
    <n v="138.5"/>
    <n v="128"/>
    <n v="115.5"/>
    <n v="114.2"/>
    <n v="140.69999999999999"/>
    <n v="126.2"/>
    <n v="147.6"/>
    <n v="134.80000000000001"/>
    <n v="159.69999999999999"/>
    <n v="136.69999999999999"/>
    <n v="126.7"/>
    <n v="135.19999999999999"/>
    <n v="142"/>
    <n v="126.4"/>
    <n v="130.80000000000001"/>
    <n v="130.5"/>
    <n v="117.8"/>
    <n v="126.8"/>
    <n v="137.80000000000001"/>
    <n v="126.7"/>
    <n v="127.1"/>
    <n v="134"/>
  </r>
  <r>
    <s v="Rural+Urban"/>
    <x v="5"/>
    <s v="March"/>
    <n v="136.19999999999999"/>
    <n v="143.6"/>
    <n v="138.30000000000001"/>
    <n v="141.19999999999999"/>
    <n v="120.7"/>
    <n v="146.19999999999999"/>
    <n v="134.6"/>
    <n v="124.6"/>
    <n v="116.1"/>
    <n v="137.80000000000001"/>
    <n v="129.1"/>
    <n v="150.4"/>
    <n v="137.19999999999999"/>
    <n v="156.30000000000001"/>
    <n v="144.30000000000001"/>
    <n v="136.19999999999999"/>
    <n v="143.1"/>
    <n v="142"/>
    <n v="136.5"/>
    <n v="135.6"/>
    <n v="134.30000000000001"/>
    <n v="121"/>
    <n v="130.4"/>
    <n v="139.80000000000001"/>
    <n v="128.19999999999999"/>
    <n v="130.30000000000001"/>
    <n v="136.5"/>
  </r>
  <r>
    <s v="Rural"/>
    <x v="5"/>
    <s v="April"/>
    <n v="137.1"/>
    <n v="144.5"/>
    <n v="135.9"/>
    <n v="142.4"/>
    <n v="123.5"/>
    <n v="156.4"/>
    <n v="135.1"/>
    <n v="128.4"/>
    <n v="115.2"/>
    <n v="137.19999999999999"/>
    <n v="131.9"/>
    <n v="153.80000000000001"/>
    <n v="138.6"/>
    <n v="156.1"/>
    <n v="150.1"/>
    <n v="143.30000000000001"/>
    <n v="149.1"/>
    <s v="NA"/>
    <n v="143.80000000000001"/>
    <n v="140.9"/>
    <n v="137.6"/>
    <n v="125.3"/>
    <n v="136"/>
    <n v="143.69999999999999"/>
    <n v="130.4"/>
    <n v="134.19999999999999"/>
    <n v="139.1"/>
  </r>
  <r>
    <s v="Urban"/>
    <x v="5"/>
    <s v="April"/>
    <n v="135"/>
    <n v="144.30000000000001"/>
    <n v="130.80000000000001"/>
    <n v="140.30000000000001"/>
    <n v="116.6"/>
    <n v="150.1"/>
    <n v="127.6"/>
    <n v="114"/>
    <n v="110.6"/>
    <n v="140.19999999999999"/>
    <n v="126.5"/>
    <n v="148.30000000000001"/>
    <n v="135.69999999999999"/>
    <n v="159.19999999999999"/>
    <n v="137.80000000000001"/>
    <n v="127.4"/>
    <n v="136.19999999999999"/>
    <n v="142.9"/>
    <n v="124.6"/>
    <n v="131.80000000000001"/>
    <n v="131.30000000000001"/>
    <n v="118.9"/>
    <n v="127.6"/>
    <n v="139.69999999999999"/>
    <n v="127.6"/>
    <n v="128.19999999999999"/>
    <n v="134.80000000000001"/>
  </r>
  <r>
    <s v="Rural+Urban"/>
    <x v="5"/>
    <s v="April"/>
    <n v="136.4"/>
    <n v="144.4"/>
    <n v="133.9"/>
    <n v="141.6"/>
    <n v="121"/>
    <n v="153.5"/>
    <n v="132.6"/>
    <n v="123.5"/>
    <n v="113.7"/>
    <n v="138.19999999999999"/>
    <n v="129.6"/>
    <n v="151.19999999999999"/>
    <n v="137.5"/>
    <n v="156.9"/>
    <n v="145.30000000000001"/>
    <n v="136.69999999999999"/>
    <n v="144"/>
    <n v="142.9"/>
    <n v="136.5"/>
    <n v="136.6"/>
    <n v="135.19999999999999"/>
    <n v="121.9"/>
    <n v="131.30000000000001"/>
    <n v="141.4"/>
    <n v="129.19999999999999"/>
    <n v="131.30000000000001"/>
    <n v="137.1"/>
  </r>
  <r>
    <s v="Rural"/>
    <x v="5"/>
    <s v="May"/>
    <n v="137.4"/>
    <n v="145.69999999999999"/>
    <n v="135.5"/>
    <n v="142.9"/>
    <n v="123.6"/>
    <n v="157.5"/>
    <n v="137.80000000000001"/>
    <n v="127.2"/>
    <n v="111.8"/>
    <n v="137.4"/>
    <n v="132.19999999999999"/>
    <n v="154.30000000000001"/>
    <n v="139.1"/>
    <n v="157"/>
    <n v="150.80000000000001"/>
    <n v="144.1"/>
    <n v="149.80000000000001"/>
    <s v="NA"/>
    <n v="144.30000000000001"/>
    <n v="141.80000000000001"/>
    <n v="138.4"/>
    <n v="126.4"/>
    <n v="136.80000000000001"/>
    <n v="144.4"/>
    <n v="131.19999999999999"/>
    <n v="135.1"/>
    <n v="139.80000000000001"/>
  </r>
  <r>
    <s v="Urban"/>
    <x v="5"/>
    <s v="May"/>
    <n v="135"/>
    <n v="148.19999999999999"/>
    <n v="130.5"/>
    <n v="140.69999999999999"/>
    <n v="116.4"/>
    <n v="151.30000000000001"/>
    <n v="131.4"/>
    <n v="112.8"/>
    <n v="105.3"/>
    <n v="139.6"/>
    <n v="126.6"/>
    <n v="148.69999999999999"/>
    <n v="136.4"/>
    <n v="160.30000000000001"/>
    <n v="138.6"/>
    <n v="127.9"/>
    <n v="137"/>
    <n v="143.19999999999999"/>
    <n v="124.7"/>
    <n v="132.5"/>
    <n v="132"/>
    <n v="119.8"/>
    <n v="128"/>
    <n v="140.4"/>
    <n v="128.1"/>
    <n v="128.9"/>
    <n v="135.4"/>
  </r>
  <r>
    <s v="Rural+Urban"/>
    <x v="5"/>
    <s v="May"/>
    <n v="136.6"/>
    <n v="146.6"/>
    <n v="133.6"/>
    <n v="142.1"/>
    <n v="121"/>
    <n v="154.6"/>
    <n v="135.6"/>
    <n v="122.3"/>
    <n v="109.6"/>
    <n v="138.1"/>
    <n v="129.9"/>
    <n v="151.69999999999999"/>
    <n v="138.1"/>
    <n v="157.9"/>
    <n v="146"/>
    <n v="137.4"/>
    <n v="144.69999999999999"/>
    <n v="143.19999999999999"/>
    <n v="136.9"/>
    <n v="137.4"/>
    <n v="136"/>
    <n v="122.9"/>
    <n v="131.80000000000001"/>
    <n v="142.1"/>
    <n v="129.9"/>
    <n v="132.1"/>
    <n v="137.80000000000001"/>
  </r>
  <r>
    <s v="Rural"/>
    <x v="5"/>
    <s v="June"/>
    <n v="137.6"/>
    <n v="148.1"/>
    <n v="136.69999999999999"/>
    <n v="143.19999999999999"/>
    <n v="124"/>
    <n v="154.1"/>
    <n v="143.5"/>
    <n v="126"/>
    <n v="112.4"/>
    <n v="137.6"/>
    <n v="132.80000000000001"/>
    <n v="154.30000000000001"/>
    <n v="140"/>
    <n v="157.30000000000001"/>
    <n v="151.30000000000001"/>
    <n v="144.69999999999999"/>
    <n v="150.30000000000001"/>
    <s v="NA"/>
    <n v="145.1"/>
    <n v="142.19999999999999"/>
    <n v="138.4"/>
    <n v="127.4"/>
    <n v="137.80000000000001"/>
    <n v="145.1"/>
    <n v="131.4"/>
    <n v="135.6"/>
    <n v="140.5"/>
  </r>
  <r>
    <s v="Urban"/>
    <x v="5"/>
    <s v="June"/>
    <n v="135.30000000000001"/>
    <n v="149.69999999999999"/>
    <n v="133.9"/>
    <n v="140.80000000000001"/>
    <n v="116.6"/>
    <n v="152.19999999999999"/>
    <n v="144"/>
    <n v="112.3"/>
    <n v="108.4"/>
    <n v="140"/>
    <n v="126.7"/>
    <n v="149"/>
    <n v="138.4"/>
    <n v="161"/>
    <n v="138.9"/>
    <n v="128.69999999999999"/>
    <n v="137.4"/>
    <n v="142.5"/>
    <n v="126.5"/>
    <n v="133.1"/>
    <n v="132.6"/>
    <n v="120.4"/>
    <n v="128.5"/>
    <n v="141.19999999999999"/>
    <n v="128.19999999999999"/>
    <n v="129.5"/>
    <n v="136.19999999999999"/>
  </r>
  <r>
    <s v="Rural+Urban"/>
    <x v="5"/>
    <s v="June"/>
    <n v="136.9"/>
    <n v="148.69999999999999"/>
    <n v="135.6"/>
    <n v="142.30000000000001"/>
    <n v="121.3"/>
    <n v="153.19999999999999"/>
    <n v="143.69999999999999"/>
    <n v="121.4"/>
    <n v="111.1"/>
    <n v="138.4"/>
    <n v="130.30000000000001"/>
    <n v="151.80000000000001"/>
    <n v="139.4"/>
    <n v="158.30000000000001"/>
    <n v="146.4"/>
    <n v="138.1"/>
    <n v="145.19999999999999"/>
    <n v="142.5"/>
    <n v="138.1"/>
    <n v="137.9"/>
    <n v="136.19999999999999"/>
    <n v="123.7"/>
    <n v="132.6"/>
    <n v="142.80000000000001"/>
    <n v="130.1"/>
    <n v="132.6"/>
    <n v="138.5"/>
  </r>
  <r>
    <s v="Rural"/>
    <x v="5"/>
    <s v="July"/>
    <n v="138.4"/>
    <n v="149.30000000000001"/>
    <n v="139.30000000000001"/>
    <n v="143.4"/>
    <n v="124.1"/>
    <n v="153.30000000000001"/>
    <n v="154.19999999999999"/>
    <n v="126.4"/>
    <n v="114.3"/>
    <n v="138.19999999999999"/>
    <n v="132.80000000000001"/>
    <n v="154.80000000000001"/>
    <n v="142"/>
    <n v="156.1"/>
    <n v="151.5"/>
    <n v="145.1"/>
    <n v="150.6"/>
    <s v="NA"/>
    <n v="146.80000000000001"/>
    <n v="143.1"/>
    <n v="139"/>
    <n v="127.5"/>
    <n v="138.4"/>
    <n v="145.80000000000001"/>
    <n v="131.4"/>
    <n v="136"/>
    <n v="141.80000000000001"/>
  </r>
  <r>
    <s v="Urban"/>
    <x v="5"/>
    <s v="July"/>
    <n v="135.6"/>
    <n v="148.6"/>
    <n v="139.1"/>
    <n v="141"/>
    <n v="116.7"/>
    <n v="149.69999999999999"/>
    <n v="159.19999999999999"/>
    <n v="112.6"/>
    <n v="111.8"/>
    <n v="140.30000000000001"/>
    <n v="126.8"/>
    <n v="149.4"/>
    <n v="140.30000000000001"/>
    <n v="161.4"/>
    <n v="139.6"/>
    <n v="128.9"/>
    <n v="137.9"/>
    <n v="143.6"/>
    <n v="128.1"/>
    <n v="133.6"/>
    <n v="133.6"/>
    <n v="120.1"/>
    <n v="129"/>
    <n v="144"/>
    <n v="128.19999999999999"/>
    <n v="130.19999999999999"/>
    <n v="137.5"/>
  </r>
  <r>
    <s v="Rural+Urban"/>
    <x v="5"/>
    <s v="July"/>
    <n v="137.5"/>
    <n v="149.1"/>
    <n v="139.19999999999999"/>
    <n v="142.5"/>
    <n v="121.4"/>
    <n v="151.6"/>
    <n v="155.9"/>
    <n v="121.7"/>
    <n v="113.5"/>
    <n v="138.9"/>
    <n v="130.30000000000001"/>
    <n v="152.30000000000001"/>
    <n v="141.4"/>
    <n v="157.5"/>
    <n v="146.80000000000001"/>
    <n v="138.4"/>
    <n v="145.6"/>
    <n v="143.6"/>
    <n v="139.69999999999999"/>
    <n v="138.6"/>
    <n v="137"/>
    <n v="123.6"/>
    <n v="133.1"/>
    <n v="144.69999999999999"/>
    <n v="130.1"/>
    <n v="133.19999999999999"/>
    <n v="139.80000000000001"/>
  </r>
  <r>
    <s v="Rural"/>
    <x v="5"/>
    <s v="August"/>
    <n v="139.19999999999999"/>
    <n v="148.80000000000001"/>
    <n v="139.1"/>
    <n v="143.5"/>
    <n v="125"/>
    <n v="154.4"/>
    <n v="156.30000000000001"/>
    <n v="126.8"/>
    <n v="115.4"/>
    <n v="138.6"/>
    <n v="133.80000000000001"/>
    <n v="155.19999999999999"/>
    <n v="142.69999999999999"/>
    <n v="156.4"/>
    <n v="152.1"/>
    <n v="145.80000000000001"/>
    <n v="151.30000000000001"/>
    <s v="NA"/>
    <n v="147.69999999999999"/>
    <n v="143.80000000000001"/>
    <n v="139.4"/>
    <n v="128.30000000000001"/>
    <n v="138.6"/>
    <n v="146.9"/>
    <n v="131.30000000000001"/>
    <n v="136.6"/>
    <n v="142.5"/>
  </r>
  <r>
    <s v="Urban"/>
    <x v="5"/>
    <s v="August"/>
    <n v="136.5"/>
    <n v="146.4"/>
    <n v="136.6"/>
    <n v="141.19999999999999"/>
    <n v="117.4"/>
    <n v="146.30000000000001"/>
    <n v="157.30000000000001"/>
    <n v="113.6"/>
    <n v="113.3"/>
    <n v="141.1"/>
    <n v="127.4"/>
    <n v="150.4"/>
    <n v="140.1"/>
    <n v="162.1"/>
    <n v="140"/>
    <n v="129"/>
    <n v="138.30000000000001"/>
    <n v="144.6"/>
    <n v="129.80000000000001"/>
    <n v="134.4"/>
    <n v="134.9"/>
    <n v="120.7"/>
    <n v="129.80000000000001"/>
    <n v="145.30000000000001"/>
    <n v="128.30000000000001"/>
    <n v="131"/>
    <n v="138"/>
  </r>
  <r>
    <s v="Rural+Urban"/>
    <x v="5"/>
    <s v="August"/>
    <n v="138.30000000000001"/>
    <n v="148"/>
    <n v="138.1"/>
    <n v="142.6"/>
    <n v="122.2"/>
    <n v="150.6"/>
    <n v="156.6"/>
    <n v="122.4"/>
    <n v="114.7"/>
    <n v="139.4"/>
    <n v="131.1"/>
    <n v="153"/>
    <n v="141.69999999999999"/>
    <n v="157.9"/>
    <n v="147.30000000000001"/>
    <n v="138.80000000000001"/>
    <n v="146.1"/>
    <n v="144.6"/>
    <n v="140.9"/>
    <n v="139.4"/>
    <n v="137.69999999999999"/>
    <n v="124.3"/>
    <n v="133.6"/>
    <n v="146"/>
    <n v="130.1"/>
    <n v="133.9"/>
    <n v="140.4"/>
  </r>
  <r>
    <s v="Rural"/>
    <x v="5"/>
    <s v="September"/>
    <n v="139.4"/>
    <n v="147.19999999999999"/>
    <n v="136.6"/>
    <n v="143.69999999999999"/>
    <n v="124.6"/>
    <n v="150.1"/>
    <n v="149.4"/>
    <n v="125.4"/>
    <n v="114.4"/>
    <n v="138.69999999999999"/>
    <n v="133.1"/>
    <n v="155.9"/>
    <n v="141.30000000000001"/>
    <n v="157.69999999999999"/>
    <n v="152.1"/>
    <n v="146.1"/>
    <n v="151.30000000000001"/>
    <s v="NA"/>
    <n v="149"/>
    <n v="144"/>
    <n v="140"/>
    <n v="129.9"/>
    <n v="140"/>
    <n v="147.6"/>
    <n v="132"/>
    <n v="137.4"/>
    <n v="142.1"/>
  </r>
  <r>
    <s v="Urban"/>
    <x v="5"/>
    <s v="September"/>
    <n v="137"/>
    <n v="143.1"/>
    <n v="132.80000000000001"/>
    <n v="141.5"/>
    <n v="117.8"/>
    <n v="140"/>
    <n v="151.30000000000001"/>
    <n v="113.5"/>
    <n v="112.3"/>
    <n v="141.19999999999999"/>
    <n v="127.7"/>
    <n v="151.30000000000001"/>
    <n v="138.9"/>
    <n v="163.30000000000001"/>
    <n v="140.80000000000001"/>
    <n v="129.30000000000001"/>
    <n v="139.1"/>
    <n v="145.30000000000001"/>
    <n v="131.19999999999999"/>
    <n v="134.9"/>
    <n v="135.69999999999999"/>
    <n v="122.5"/>
    <n v="130.19999999999999"/>
    <n v="145.19999999999999"/>
    <n v="129.30000000000001"/>
    <n v="131.9"/>
    <n v="138.1"/>
  </r>
  <r>
    <s v="Rural+Urban"/>
    <x v="5"/>
    <s v="September"/>
    <n v="138.6"/>
    <n v="145.80000000000001"/>
    <n v="135.1"/>
    <n v="142.9"/>
    <n v="122.1"/>
    <n v="145.4"/>
    <n v="150"/>
    <n v="121.4"/>
    <n v="113.7"/>
    <n v="139.5"/>
    <n v="130.80000000000001"/>
    <n v="153.80000000000001"/>
    <n v="140.4"/>
    <n v="159.19999999999999"/>
    <n v="147.69999999999999"/>
    <n v="139.1"/>
    <n v="146.5"/>
    <n v="145.30000000000001"/>
    <n v="142.30000000000001"/>
    <n v="139.69999999999999"/>
    <n v="138.4"/>
    <n v="126"/>
    <n v="134.5"/>
    <n v="146.19999999999999"/>
    <n v="130.9"/>
    <n v="134.69999999999999"/>
    <n v="140.19999999999999"/>
  </r>
  <r>
    <s v="Rural"/>
    <x v="5"/>
    <s v="October"/>
    <n v="139.30000000000001"/>
    <n v="147.6"/>
    <n v="134.6"/>
    <n v="141.9"/>
    <n v="123.5"/>
    <n v="144.5"/>
    <n v="147.6"/>
    <n v="121.4"/>
    <n v="112.3"/>
    <n v="139.5"/>
    <n v="134.6"/>
    <n v="155.19999999999999"/>
    <n v="140.19999999999999"/>
    <n v="159.6"/>
    <n v="150.69999999999999"/>
    <n v="144.5"/>
    <n v="149.80000000000001"/>
    <s v="NA"/>
    <n v="149.69999999999999"/>
    <n v="147.5"/>
    <n v="144.80000000000001"/>
    <n v="130.80000000000001"/>
    <n v="140.1"/>
    <n v="148"/>
    <n v="134.4"/>
    <n v="139.80000000000001"/>
    <n v="142.19999999999999"/>
  </r>
  <r>
    <s v="Urban"/>
    <x v="5"/>
    <s v="October"/>
    <n v="137.6"/>
    <n v="144.9"/>
    <n v="133.5"/>
    <n v="141.5"/>
    <n v="118"/>
    <n v="139.5"/>
    <n v="153"/>
    <n v="113.2"/>
    <n v="112.8"/>
    <n v="141.1"/>
    <n v="127.6"/>
    <n v="152"/>
    <n v="139.4"/>
    <n v="164"/>
    <n v="141.5"/>
    <n v="129.80000000000001"/>
    <n v="139.69999999999999"/>
    <n v="146.30000000000001"/>
    <n v="133.4"/>
    <n v="135.1"/>
    <n v="136.19999999999999"/>
    <n v="123.3"/>
    <n v="130.69999999999999"/>
    <n v="145.5"/>
    <n v="130.4"/>
    <n v="132.5"/>
    <n v="138.9"/>
  </r>
  <r>
    <s v="Rural+Urban"/>
    <x v="5"/>
    <s v="October"/>
    <n v="137.4"/>
    <n v="149.5"/>
    <n v="137.30000000000001"/>
    <n v="141.9"/>
    <n v="121.1"/>
    <n v="142.5"/>
    <n v="146.69999999999999"/>
    <n v="119.1"/>
    <n v="111.9"/>
    <n v="141"/>
    <n v="133.6"/>
    <n v="154.5"/>
    <n v="139.69999999999999"/>
    <n v="162.6"/>
    <n v="148"/>
    <n v="139.19999999999999"/>
    <n v="146.80000000000001"/>
    <n v="146.9"/>
    <n v="145.30000000000001"/>
    <n v="142.19999999999999"/>
    <n v="142.1"/>
    <n v="125.5"/>
    <n v="136.5"/>
    <n v="147.80000000000001"/>
    <n v="132"/>
    <n v="136.30000000000001"/>
    <n v="140.80000000000001"/>
  </r>
  <r>
    <s v="Rural"/>
    <x v="5"/>
    <s v="November"/>
    <n v="137.1"/>
    <n v="150.80000000000001"/>
    <n v="136.69999999999999"/>
    <n v="141.9"/>
    <n v="122.8"/>
    <n v="143.9"/>
    <n v="147.5"/>
    <n v="121"/>
    <n v="111.6"/>
    <n v="140.6"/>
    <n v="137.5"/>
    <n v="156.1"/>
    <n v="140"/>
    <n v="161.9"/>
    <n v="151.69999999999999"/>
    <n v="145.5"/>
    <n v="150.80000000000001"/>
    <s v="NA"/>
    <n v="150.30000000000001"/>
    <n v="148"/>
    <n v="145.4"/>
    <n v="130.30000000000001"/>
    <n v="143.1"/>
    <n v="150.19999999999999"/>
    <n v="133.1"/>
    <n v="140.1"/>
    <n v="142.4"/>
  </r>
  <r>
    <s v="Urban"/>
    <x v="5"/>
    <s v="November"/>
    <n v="138.1"/>
    <n v="146.30000000000001"/>
    <n v="137.80000000000001"/>
    <n v="141.6"/>
    <n v="118.1"/>
    <n v="141.5"/>
    <n v="145.19999999999999"/>
    <n v="115.3"/>
    <n v="112.5"/>
    <n v="141.4"/>
    <n v="128"/>
    <n v="152.6"/>
    <n v="139.1"/>
    <n v="164.4"/>
    <n v="142.4"/>
    <n v="130.19999999999999"/>
    <n v="140.5"/>
    <n v="146.9"/>
    <n v="136.69999999999999"/>
    <n v="135.80000000000001"/>
    <n v="136.80000000000001"/>
    <n v="121.2"/>
    <n v="131.30000000000001"/>
    <n v="146.1"/>
    <n v="130.5"/>
    <n v="132.19999999999999"/>
    <n v="139"/>
  </r>
  <r>
    <s v="Rural+Urban"/>
    <x v="5"/>
    <s v="November"/>
    <n v="137.4"/>
    <n v="149.19999999999999"/>
    <n v="137.1"/>
    <n v="141.80000000000001"/>
    <n v="121.1"/>
    <n v="142.80000000000001"/>
    <n v="146.69999999999999"/>
    <n v="119.1"/>
    <n v="111.9"/>
    <n v="140.9"/>
    <n v="133.5"/>
    <n v="154.5"/>
    <n v="139.69999999999999"/>
    <n v="162.6"/>
    <n v="148"/>
    <n v="139.1"/>
    <n v="146.69999999999999"/>
    <n v="146.9"/>
    <n v="145.1"/>
    <n v="142.19999999999999"/>
    <n v="142.1"/>
    <n v="125.5"/>
    <n v="136.5"/>
    <n v="147.80000000000001"/>
    <n v="132"/>
    <n v="136.30000000000001"/>
    <n v="140.80000000000001"/>
  </r>
  <r>
    <s v="Rural"/>
    <x v="5"/>
    <s v="December"/>
    <n v="137.1"/>
    <n v="151.9"/>
    <n v="137.4"/>
    <n v="142.4"/>
    <n v="124.2"/>
    <n v="140.19999999999999"/>
    <n v="136.6"/>
    <n v="120.9"/>
    <n v="109.9"/>
    <n v="140.19999999999999"/>
    <n v="137.80000000000001"/>
    <n v="156"/>
    <n v="138.5"/>
    <n v="162.4"/>
    <n v="151.6"/>
    <n v="145.9"/>
    <n v="150.80000000000001"/>
    <s v="NA"/>
    <n v="149"/>
    <n v="149.5"/>
    <n v="149.6"/>
    <n v="128.9"/>
    <n v="143.30000000000001"/>
    <n v="155.1"/>
    <n v="133.19999999999999"/>
    <n v="141.6"/>
    <n v="141.9"/>
  </r>
  <r>
    <s v="Urban"/>
    <x v="5"/>
    <s v="December"/>
    <n v="138.5"/>
    <n v="147.80000000000001"/>
    <n v="141.1"/>
    <n v="141.6"/>
    <n v="118.1"/>
    <n v="138.5"/>
    <n v="132.4"/>
    <n v="117.5"/>
    <n v="111"/>
    <n v="141.5"/>
    <n v="128.1"/>
    <n v="152.9"/>
    <n v="137.6"/>
    <n v="164.6"/>
    <n v="142.69999999999999"/>
    <n v="130.30000000000001"/>
    <n v="140.80000000000001"/>
    <n v="146.5"/>
    <n v="132.4"/>
    <n v="136.19999999999999"/>
    <n v="137.30000000000001"/>
    <n v="118.8"/>
    <n v="131.69999999999999"/>
    <n v="146.5"/>
    <n v="130.80000000000001"/>
    <n v="131.69999999999999"/>
    <n v="138"/>
  </r>
  <r>
    <s v="Rural+Urban"/>
    <x v="5"/>
    <s v="December"/>
    <n v="137.5"/>
    <n v="150.5"/>
    <n v="138.80000000000001"/>
    <n v="142.1"/>
    <n v="122"/>
    <n v="139.4"/>
    <n v="135.19999999999999"/>
    <n v="119.8"/>
    <n v="110.3"/>
    <n v="140.6"/>
    <n v="133.80000000000001"/>
    <n v="154.6"/>
    <n v="138.19999999999999"/>
    <n v="163"/>
    <n v="148.1"/>
    <n v="139.4"/>
    <n v="146.80000000000001"/>
    <n v="146.5"/>
    <n v="142.69999999999999"/>
    <n v="143.19999999999999"/>
    <n v="144.9"/>
    <n v="123.6"/>
    <n v="136.80000000000001"/>
    <n v="150.1"/>
    <n v="132.19999999999999"/>
    <n v="136.80000000000001"/>
    <n v="140.1"/>
  </r>
  <r>
    <s v="Rural"/>
    <x v="6"/>
    <s v="January"/>
    <n v="136.6"/>
    <n v="152.5"/>
    <n v="138.19999999999999"/>
    <n v="142.4"/>
    <n v="123.9"/>
    <n v="135.5"/>
    <n v="131.69999999999999"/>
    <n v="121.3"/>
    <n v="108.4"/>
    <n v="138.9"/>
    <n v="137"/>
    <n v="155.80000000000001"/>
    <n v="137.4"/>
    <n v="162.69999999999999"/>
    <n v="150.6"/>
    <n v="145.1"/>
    <n v="149.9"/>
    <s v="NA"/>
    <n v="146.19999999999999"/>
    <n v="150.1"/>
    <n v="149.6"/>
    <n v="128.6"/>
    <n v="142.9"/>
    <n v="155.19999999999999"/>
    <n v="133.5"/>
    <n v="141.69999999999999"/>
    <n v="141"/>
  </r>
  <r>
    <s v="Urban"/>
    <x v="6"/>
    <s v="January"/>
    <n v="138.30000000000001"/>
    <n v="149.4"/>
    <n v="143.5"/>
    <n v="141.69999999999999"/>
    <n v="118.1"/>
    <n v="135.19999999999999"/>
    <n v="130.5"/>
    <n v="118.2"/>
    <n v="110.4"/>
    <n v="140.4"/>
    <n v="128.1"/>
    <n v="153.19999999999999"/>
    <n v="137.30000000000001"/>
    <n v="164.7"/>
    <n v="143"/>
    <n v="130.4"/>
    <n v="141.1"/>
    <n v="147.69999999999999"/>
    <n v="128.6"/>
    <n v="136.30000000000001"/>
    <n v="137.80000000000001"/>
    <n v="118.6"/>
    <n v="131.9"/>
    <n v="146.6"/>
    <n v="131.69999999999999"/>
    <n v="131.80000000000001"/>
    <n v="138"/>
  </r>
  <r>
    <s v="Rural+Urban"/>
    <x v="6"/>
    <s v="January"/>
    <n v="137.1"/>
    <n v="151.4"/>
    <n v="140.19999999999999"/>
    <n v="142.1"/>
    <n v="121.8"/>
    <n v="135.4"/>
    <n v="131.30000000000001"/>
    <n v="120.3"/>
    <n v="109.1"/>
    <n v="139.4"/>
    <n v="133.30000000000001"/>
    <n v="154.6"/>
    <n v="137.4"/>
    <n v="163.19999999999999"/>
    <n v="147.6"/>
    <n v="139"/>
    <n v="146.4"/>
    <n v="147.69999999999999"/>
    <n v="139.5"/>
    <n v="143.6"/>
    <n v="145.1"/>
    <n v="123.3"/>
    <n v="136.69999999999999"/>
    <n v="150.19999999999999"/>
    <n v="132.80000000000001"/>
    <n v="136.9"/>
    <n v="139.6"/>
  </r>
  <r>
    <s v="Rural"/>
    <x v="6"/>
    <s v="February"/>
    <n v="136.80000000000001"/>
    <n v="153"/>
    <n v="139.1"/>
    <n v="142.5"/>
    <n v="124.1"/>
    <n v="135.80000000000001"/>
    <n v="128.69999999999999"/>
    <n v="121.5"/>
    <n v="108.3"/>
    <n v="139.19999999999999"/>
    <n v="137.4"/>
    <n v="156.19999999999999"/>
    <n v="137.19999999999999"/>
    <n v="162.80000000000001"/>
    <n v="150.5"/>
    <n v="146.1"/>
    <n v="149.9"/>
    <s v="NA"/>
    <n v="145.30000000000001"/>
    <n v="150.1"/>
    <n v="149.9"/>
    <n v="129.19999999999999"/>
    <n v="143.4"/>
    <n v="155.5"/>
    <n v="134.9"/>
    <n v="142.19999999999999"/>
    <n v="141"/>
  </r>
  <r>
    <s v="Urban"/>
    <x v="6"/>
    <s v="February"/>
    <n v="139.4"/>
    <n v="150.1"/>
    <n v="145.30000000000001"/>
    <n v="141.69999999999999"/>
    <n v="118.4"/>
    <n v="137"/>
    <n v="131.6"/>
    <n v="119.9"/>
    <n v="110.4"/>
    <n v="140.80000000000001"/>
    <n v="128.30000000000001"/>
    <n v="153.5"/>
    <n v="138"/>
    <n v="164.9"/>
    <n v="143.30000000000001"/>
    <n v="130.80000000000001"/>
    <n v="141.4"/>
    <n v="148.5"/>
    <n v="127.1"/>
    <n v="136.6"/>
    <n v="138.5"/>
    <n v="119.2"/>
    <n v="132.19999999999999"/>
    <n v="146.6"/>
    <n v="133"/>
    <n v="132.4"/>
    <n v="138.6"/>
  </r>
  <r>
    <s v="Rural+Urban"/>
    <x v="6"/>
    <s v="February"/>
    <n v="137.6"/>
    <n v="152"/>
    <n v="141.5"/>
    <n v="142.19999999999999"/>
    <n v="122"/>
    <n v="136.4"/>
    <n v="129.69999999999999"/>
    <n v="121"/>
    <n v="109"/>
    <n v="139.69999999999999"/>
    <n v="133.6"/>
    <n v="154.9"/>
    <n v="137.5"/>
    <n v="163.4"/>
    <n v="147.69999999999999"/>
    <n v="139.69999999999999"/>
    <n v="146.5"/>
    <n v="148.5"/>
    <n v="138.4"/>
    <n v="143.69999999999999"/>
    <n v="145.6"/>
    <n v="123.9"/>
    <n v="137.1"/>
    <n v="150.30000000000001"/>
    <n v="134.1"/>
    <n v="137.4"/>
    <n v="139.9"/>
  </r>
  <r>
    <s v="Rural"/>
    <x v="6"/>
    <s v="March"/>
    <n v="136.9"/>
    <n v="154.1"/>
    <n v="138.69999999999999"/>
    <n v="142.5"/>
    <n v="124.1"/>
    <n v="136.1"/>
    <n v="128.19999999999999"/>
    <n v="122.3"/>
    <n v="108.3"/>
    <n v="138.9"/>
    <n v="137.4"/>
    <n v="156.4"/>
    <n v="137.30000000000001"/>
    <n v="162.9"/>
    <n v="150.80000000000001"/>
    <n v="146.1"/>
    <n v="150.1"/>
    <s v="NA"/>
    <n v="146.4"/>
    <n v="150"/>
    <n v="150.4"/>
    <n v="129.9"/>
    <n v="143.80000000000001"/>
    <n v="155.5"/>
    <n v="134"/>
    <n v="142.4"/>
    <n v="141.19999999999999"/>
  </r>
  <r>
    <s v="Urban"/>
    <x v="6"/>
    <s v="March"/>
    <n v="139.69999999999999"/>
    <n v="151.1"/>
    <n v="142.9"/>
    <n v="141.9"/>
    <n v="118.4"/>
    <n v="139.4"/>
    <n v="141.19999999999999"/>
    <n v="120.7"/>
    <n v="110.4"/>
    <n v="140.69999999999999"/>
    <n v="128.5"/>
    <n v="153.9"/>
    <n v="139.6"/>
    <n v="165.3"/>
    <n v="143.5"/>
    <n v="131.19999999999999"/>
    <n v="141.6"/>
    <n v="149"/>
    <n v="128.80000000000001"/>
    <n v="136.80000000000001"/>
    <n v="139.19999999999999"/>
    <n v="119.9"/>
    <n v="133"/>
    <n v="146.69999999999999"/>
    <n v="132.5"/>
    <n v="132.80000000000001"/>
    <n v="139.5"/>
  </r>
  <r>
    <s v="Rural+Urban"/>
    <x v="6"/>
    <s v="March"/>
    <n v="137.80000000000001"/>
    <n v="153"/>
    <n v="140.30000000000001"/>
    <n v="142.30000000000001"/>
    <n v="122"/>
    <n v="137.6"/>
    <n v="132.6"/>
    <n v="121.8"/>
    <n v="109"/>
    <n v="139.5"/>
    <n v="133.69999999999999"/>
    <n v="155.19999999999999"/>
    <n v="138.1"/>
    <n v="163.5"/>
    <n v="147.9"/>
    <n v="139.9"/>
    <n v="146.69999999999999"/>
    <n v="149"/>
    <n v="139.69999999999999"/>
    <n v="143.80000000000001"/>
    <n v="146.19999999999999"/>
    <n v="124.6"/>
    <n v="137.69999999999999"/>
    <n v="150.30000000000001"/>
    <n v="133.4"/>
    <n v="137.69999999999999"/>
    <n v="140.4"/>
  </r>
  <r>
    <s v="Rural"/>
    <x v="6"/>
    <s v="May"/>
    <n v="137.4"/>
    <n v="159.5"/>
    <n v="134.5"/>
    <n v="142.6"/>
    <n v="124"/>
    <n v="143.69999999999999"/>
    <n v="133.4"/>
    <n v="125.1"/>
    <n v="109.3"/>
    <n v="139.30000000000001"/>
    <n v="137.69999999999999"/>
    <n v="156.4"/>
    <n v="139.19999999999999"/>
    <n v="163.30000000000001"/>
    <n v="151.30000000000001"/>
    <n v="146.6"/>
    <n v="150.69999999999999"/>
    <s v="NA"/>
    <n v="146.9"/>
    <n v="149.5"/>
    <n v="151.30000000000001"/>
    <n v="130.19999999999999"/>
    <n v="145.9"/>
    <n v="156.69999999999999"/>
    <n v="133.9"/>
    <n v="142.9"/>
    <n v="142.4"/>
  </r>
  <r>
    <s v="Urban"/>
    <x v="6"/>
    <s v="May"/>
    <n v="140.4"/>
    <n v="156.69999999999999"/>
    <n v="138.30000000000001"/>
    <n v="142.4"/>
    <n v="118.6"/>
    <n v="149.69999999999999"/>
    <n v="161.6"/>
    <n v="124.4"/>
    <n v="111.2"/>
    <n v="141"/>
    <n v="128.9"/>
    <n v="154.5"/>
    <n v="143.80000000000001"/>
    <n v="166.2"/>
    <n v="144"/>
    <n v="131.69999999999999"/>
    <n v="142.19999999999999"/>
    <n v="150.1"/>
    <n v="129.4"/>
    <n v="137.19999999999999"/>
    <n v="139.80000000000001"/>
    <n v="120.1"/>
    <n v="134"/>
    <n v="148"/>
    <n v="132.6"/>
    <n v="133.30000000000001"/>
    <n v="141.5"/>
  </r>
  <r>
    <s v="Rural+Urban"/>
    <x v="6"/>
    <s v="May"/>
    <n v="138.30000000000001"/>
    <n v="158.5"/>
    <n v="136"/>
    <n v="142.5"/>
    <n v="122"/>
    <n v="146.5"/>
    <n v="143"/>
    <n v="124.9"/>
    <n v="109.9"/>
    <n v="139.9"/>
    <n v="134"/>
    <n v="155.5"/>
    <n v="140.9"/>
    <n v="164.1"/>
    <n v="148.4"/>
    <n v="140.4"/>
    <n v="147.30000000000001"/>
    <n v="150.1"/>
    <n v="140.30000000000001"/>
    <n v="143.69999999999999"/>
    <n v="146.9"/>
    <n v="124.9"/>
    <n v="139.19999999999999"/>
    <n v="151.6"/>
    <n v="133.4"/>
    <n v="138.19999999999999"/>
    <n v="142"/>
  </r>
  <r>
    <s v="Rural"/>
    <x v="6"/>
    <s v="June"/>
    <n v="137.80000000000001"/>
    <n v="163.5"/>
    <n v="136.19999999999999"/>
    <n v="143.19999999999999"/>
    <n v="124.3"/>
    <n v="143.30000000000001"/>
    <n v="140.6"/>
    <n v="128.69999999999999"/>
    <n v="110.6"/>
    <n v="140.4"/>
    <n v="138"/>
    <n v="156.6"/>
    <n v="141"/>
    <n v="164.2"/>
    <n v="151.4"/>
    <n v="146.5"/>
    <n v="150.69999999999999"/>
    <s v="NA"/>
    <n v="147.80000000000001"/>
    <n v="149.6"/>
    <n v="151.69999999999999"/>
    <n v="130.19999999999999"/>
    <n v="146.4"/>
    <n v="157.69999999999999"/>
    <n v="134.80000000000001"/>
    <n v="143.30000000000001"/>
    <n v="143.6"/>
  </r>
  <r>
    <s v="Urban"/>
    <x v="6"/>
    <s v="June"/>
    <n v="140.69999999999999"/>
    <n v="159.6"/>
    <n v="140.4"/>
    <n v="143.4"/>
    <n v="118.6"/>
    <n v="150.9"/>
    <n v="169.8"/>
    <n v="127.4"/>
    <n v="111.8"/>
    <n v="141"/>
    <n v="129"/>
    <n v="155.1"/>
    <n v="145.6"/>
    <n v="166.7"/>
    <n v="144.30000000000001"/>
    <n v="131.69999999999999"/>
    <n v="142.4"/>
    <n v="149.4"/>
    <n v="130.5"/>
    <n v="137.4"/>
    <n v="140.30000000000001"/>
    <n v="119.6"/>
    <n v="134.30000000000001"/>
    <n v="148.9"/>
    <n v="133.69999999999999"/>
    <n v="133.6"/>
    <n v="142.1"/>
  </r>
  <r>
    <s v="Rural+Urban"/>
    <x v="6"/>
    <s v="June"/>
    <n v="138.69999999999999"/>
    <n v="162.1"/>
    <n v="137.80000000000001"/>
    <n v="143.30000000000001"/>
    <n v="122.2"/>
    <n v="146.80000000000001"/>
    <n v="150.5"/>
    <n v="128.30000000000001"/>
    <n v="111"/>
    <n v="140.6"/>
    <n v="134.19999999999999"/>
    <n v="155.9"/>
    <n v="142.69999999999999"/>
    <n v="164.9"/>
    <n v="148.6"/>
    <n v="140.4"/>
    <n v="147.4"/>
    <n v="149.4"/>
    <n v="141.19999999999999"/>
    <n v="143.80000000000001"/>
    <n v="147.4"/>
    <n v="124.6"/>
    <n v="139.6"/>
    <n v="152.5"/>
    <n v="134.30000000000001"/>
    <n v="138.6"/>
    <n v="142.9"/>
  </r>
  <r>
    <s v="Rural"/>
    <x v="6"/>
    <s v="July"/>
    <n v="138.4"/>
    <n v="164"/>
    <n v="138.4"/>
    <n v="143.9"/>
    <n v="124.4"/>
    <n v="146.4"/>
    <n v="150.1"/>
    <n v="130.6"/>
    <n v="110.8"/>
    <n v="141.69999999999999"/>
    <n v="138.5"/>
    <n v="156.69999999999999"/>
    <n v="143"/>
    <n v="164.5"/>
    <n v="151.6"/>
    <n v="146.6"/>
    <n v="150.9"/>
    <s v="NA"/>
    <n v="146.80000000000001"/>
    <n v="150"/>
    <n v="152.19999999999999"/>
    <n v="131.19999999999999"/>
    <n v="147.5"/>
    <n v="159.1"/>
    <n v="136.1"/>
    <n v="144.19999999999999"/>
    <n v="144.9"/>
  </r>
  <r>
    <s v="Urban"/>
    <x v="6"/>
    <s v="July"/>
    <n v="141.4"/>
    <n v="160.19999999999999"/>
    <n v="142.5"/>
    <n v="144.1"/>
    <n v="119.3"/>
    <n v="154.69999999999999"/>
    <n v="180.1"/>
    <n v="128.9"/>
    <n v="111.8"/>
    <n v="141.6"/>
    <n v="129.5"/>
    <n v="155.6"/>
    <n v="147.69999999999999"/>
    <n v="167.2"/>
    <n v="144.69999999999999"/>
    <n v="131.9"/>
    <n v="142.69999999999999"/>
    <n v="150.6"/>
    <n v="127"/>
    <n v="137.69999999999999"/>
    <n v="140.80000000000001"/>
    <n v="120.6"/>
    <n v="135"/>
    <n v="150.4"/>
    <n v="135.1"/>
    <n v="134.5"/>
    <n v="143.30000000000001"/>
  </r>
  <r>
    <s v="Rural+Urban"/>
    <x v="6"/>
    <s v="July"/>
    <n v="139.30000000000001"/>
    <n v="162.69999999999999"/>
    <n v="140"/>
    <n v="144"/>
    <n v="122.5"/>
    <n v="150.30000000000001"/>
    <n v="160.30000000000001"/>
    <n v="130"/>
    <n v="111.1"/>
    <n v="141.69999999999999"/>
    <n v="134.69999999999999"/>
    <n v="156.19999999999999"/>
    <n v="144.69999999999999"/>
    <n v="165.2"/>
    <n v="148.9"/>
    <n v="140.5"/>
    <n v="147.6"/>
    <n v="150.6"/>
    <n v="139.30000000000001"/>
    <n v="144.19999999999999"/>
    <n v="147.9"/>
    <n v="125.6"/>
    <n v="140.5"/>
    <n v="154"/>
    <n v="135.69999999999999"/>
    <n v="139.5"/>
    <n v="144.19999999999999"/>
  </r>
  <r>
    <s v="Rural"/>
    <x v="6"/>
    <s v="August"/>
    <n v="139.19999999999999"/>
    <n v="161.9"/>
    <n v="137.1"/>
    <n v="144.6"/>
    <n v="124.7"/>
    <n v="145.5"/>
    <n v="156.19999999999999"/>
    <n v="131.5"/>
    <n v="111.7"/>
    <n v="142.69999999999999"/>
    <n v="138.5"/>
    <n v="156.9"/>
    <n v="144"/>
    <n v="165.1"/>
    <n v="151.80000000000001"/>
    <n v="146.6"/>
    <n v="151.1"/>
    <s v="NA"/>
    <n v="146.4"/>
    <n v="150.19999999999999"/>
    <n v="152.69999999999999"/>
    <n v="131.4"/>
    <n v="148"/>
    <n v="159.69999999999999"/>
    <n v="138.80000000000001"/>
    <n v="144.9"/>
    <n v="145.69999999999999"/>
  </r>
  <r>
    <s v="Urban"/>
    <x v="6"/>
    <s v="August"/>
    <n v="142.1"/>
    <n v="158.30000000000001"/>
    <n v="140.80000000000001"/>
    <n v="144.9"/>
    <n v="119.9"/>
    <n v="153.9"/>
    <n v="189.1"/>
    <n v="129.80000000000001"/>
    <n v="112.7"/>
    <n v="142.5"/>
    <n v="129.80000000000001"/>
    <n v="156.19999999999999"/>
    <n v="149.1"/>
    <n v="167.9"/>
    <n v="145"/>
    <n v="132.19999999999999"/>
    <n v="143"/>
    <n v="151.6"/>
    <n v="125.5"/>
    <n v="138.1"/>
    <n v="141.5"/>
    <n v="120.8"/>
    <n v="135.4"/>
    <n v="151.5"/>
    <n v="137.80000000000001"/>
    <n v="135.30000000000001"/>
    <n v="144.19999999999999"/>
  </r>
  <r>
    <s v="Rural+Urban"/>
    <x v="6"/>
    <s v="August"/>
    <n v="140.1"/>
    <n v="160.6"/>
    <n v="138.5"/>
    <n v="144.69999999999999"/>
    <n v="122.9"/>
    <n v="149.4"/>
    <n v="167.4"/>
    <n v="130.9"/>
    <n v="112"/>
    <n v="142.6"/>
    <n v="134.9"/>
    <n v="156.6"/>
    <n v="145.9"/>
    <n v="165.8"/>
    <n v="149.1"/>
    <n v="140.6"/>
    <n v="147.9"/>
    <n v="151.6"/>
    <n v="138.5"/>
    <n v="144.5"/>
    <n v="148.5"/>
    <n v="125.8"/>
    <n v="140.9"/>
    <n v="154.9"/>
    <n v="138.4"/>
    <n v="140.19999999999999"/>
    <n v="145"/>
  </r>
  <r>
    <s v="Rural"/>
    <x v="6"/>
    <s v="September"/>
    <n v="140.1"/>
    <n v="161.9"/>
    <n v="138.30000000000001"/>
    <n v="145.69999999999999"/>
    <n v="125.1"/>
    <n v="143.80000000000001"/>
    <n v="163.4"/>
    <n v="132.19999999999999"/>
    <n v="112.8"/>
    <n v="144.19999999999999"/>
    <n v="138.5"/>
    <n v="157.19999999999999"/>
    <n v="145.5"/>
    <n v="165.7"/>
    <n v="151.69999999999999"/>
    <n v="146.6"/>
    <n v="151"/>
    <s v="NA"/>
    <n v="146.9"/>
    <n v="150.30000000000001"/>
    <n v="153.4"/>
    <n v="131.6"/>
    <n v="148.30000000000001"/>
    <n v="160.19999999999999"/>
    <n v="140.19999999999999"/>
    <n v="145.4"/>
    <n v="146.69999999999999"/>
  </r>
  <r>
    <s v="Urban"/>
    <x v="6"/>
    <s v="September"/>
    <n v="142.69999999999999"/>
    <n v="158.69999999999999"/>
    <n v="141.6"/>
    <n v="144.9"/>
    <n v="120.8"/>
    <n v="149.80000000000001"/>
    <n v="192.4"/>
    <n v="130.30000000000001"/>
    <n v="114"/>
    <n v="143.80000000000001"/>
    <n v="130"/>
    <n v="156.4"/>
    <n v="149.5"/>
    <n v="168.6"/>
    <n v="145.30000000000001"/>
    <n v="132.19999999999999"/>
    <n v="143.30000000000001"/>
    <n v="152.19999999999999"/>
    <n v="126.6"/>
    <n v="138.30000000000001"/>
    <n v="141.9"/>
    <n v="121.2"/>
    <n v="135.9"/>
    <n v="151.6"/>
    <n v="139"/>
    <n v="135.69999999999999"/>
    <n v="144.69999999999999"/>
  </r>
  <r>
    <s v="Rural+Urban"/>
    <x v="6"/>
    <s v="September"/>
    <n v="140.9"/>
    <n v="160.80000000000001"/>
    <n v="139.6"/>
    <n v="145.4"/>
    <n v="123.5"/>
    <n v="146.6"/>
    <n v="173.2"/>
    <n v="131.6"/>
    <n v="113.2"/>
    <n v="144.1"/>
    <n v="135"/>
    <n v="156.80000000000001"/>
    <n v="147"/>
    <n v="166.5"/>
    <n v="149.19999999999999"/>
    <n v="140.6"/>
    <n v="147.9"/>
    <n v="152.19999999999999"/>
    <n v="139.19999999999999"/>
    <n v="144.6"/>
    <n v="149"/>
    <n v="126.1"/>
    <n v="141.30000000000001"/>
    <n v="155.19999999999999"/>
    <n v="139.69999999999999"/>
    <n v="140.69999999999999"/>
    <n v="145.80000000000001"/>
  </r>
  <r>
    <s v="Rural"/>
    <x v="6"/>
    <s v="October"/>
    <n v="141"/>
    <n v="161.6"/>
    <n v="141.19999999999999"/>
    <n v="146.5"/>
    <n v="125.6"/>
    <n v="145.69999999999999"/>
    <n v="178.8"/>
    <n v="133.1"/>
    <n v="113.6"/>
    <n v="145.5"/>
    <n v="138.6"/>
    <n v="157.4"/>
    <n v="148.30000000000001"/>
    <n v="166.3"/>
    <n v="151.69999999999999"/>
    <n v="146.69999999999999"/>
    <n v="151"/>
    <s v="NA"/>
    <n v="147.69999999999999"/>
    <n v="150.6"/>
    <n v="153.69999999999999"/>
    <n v="131.69999999999999"/>
    <n v="148.69999999999999"/>
    <n v="160.69999999999999"/>
    <n v="140.30000000000001"/>
    <n v="145.69999999999999"/>
    <n v="148.30000000000001"/>
  </r>
  <r>
    <s v="Urban"/>
    <x v="6"/>
    <s v="October"/>
    <n v="143.5"/>
    <n v="159.80000000000001"/>
    <n v="144.69999999999999"/>
    <n v="145.6"/>
    <n v="121.1"/>
    <n v="150.6"/>
    <n v="207.2"/>
    <n v="131.19999999999999"/>
    <n v="114.8"/>
    <n v="145.19999999999999"/>
    <n v="130.19999999999999"/>
    <n v="156.80000000000001"/>
    <n v="151.9"/>
    <n v="169.3"/>
    <n v="145.9"/>
    <n v="132.4"/>
    <n v="143.9"/>
    <n v="153"/>
    <n v="128.9"/>
    <n v="138.69999999999999"/>
    <n v="142.4"/>
    <n v="121.5"/>
    <n v="136.19999999999999"/>
    <n v="151.69999999999999"/>
    <n v="139.5"/>
    <n v="136"/>
    <n v="146"/>
  </r>
  <r>
    <s v="Rural+Urban"/>
    <x v="6"/>
    <s v="October"/>
    <n v="141.80000000000001"/>
    <n v="161"/>
    <n v="142.6"/>
    <n v="146.19999999999999"/>
    <n v="123.9"/>
    <n v="148"/>
    <n v="188.4"/>
    <n v="132.5"/>
    <n v="114"/>
    <n v="145.4"/>
    <n v="135.1"/>
    <n v="157.1"/>
    <n v="149.6"/>
    <n v="167.1"/>
    <n v="149.4"/>
    <n v="140.80000000000001"/>
    <n v="148.19999999999999"/>
    <n v="153"/>
    <n v="140.6"/>
    <n v="145"/>
    <n v="149.4"/>
    <n v="126.3"/>
    <n v="141.69999999999999"/>
    <n v="155.4"/>
    <n v="140"/>
    <n v="141"/>
    <n v="147.19999999999999"/>
  </r>
  <r>
    <s v="Rural"/>
    <x v="6"/>
    <s v="November"/>
    <n v="141.80000000000001"/>
    <n v="163.69999999999999"/>
    <n v="143.80000000000001"/>
    <n v="147.1"/>
    <n v="126"/>
    <n v="146.19999999999999"/>
    <n v="191.4"/>
    <n v="136.19999999999999"/>
    <n v="113.8"/>
    <n v="147.30000000000001"/>
    <n v="138.69999999999999"/>
    <n v="157.69999999999999"/>
    <n v="150.9"/>
    <n v="167.2"/>
    <n v="152.30000000000001"/>
    <n v="147"/>
    <n v="151.5"/>
    <s v="NA"/>
    <n v="148.4"/>
    <n v="150.9"/>
    <n v="154.30000000000001"/>
    <n v="132.1"/>
    <n v="149.1"/>
    <n v="160.80000000000001"/>
    <n v="140.6"/>
    <n v="146.1"/>
    <n v="149.9"/>
  </r>
  <r>
    <s v="Urban"/>
    <x v="6"/>
    <s v="November"/>
    <n v="144.1"/>
    <n v="162.4"/>
    <n v="148.4"/>
    <n v="145.9"/>
    <n v="121.5"/>
    <n v="148.80000000000001"/>
    <n v="215.7"/>
    <n v="134.6"/>
    <n v="115"/>
    <n v="146.30000000000001"/>
    <n v="130.5"/>
    <n v="157.19999999999999"/>
    <n v="153.6"/>
    <n v="169.9"/>
    <n v="146.30000000000001"/>
    <n v="132.6"/>
    <n v="144.19999999999999"/>
    <n v="153.5"/>
    <n v="132.19999999999999"/>
    <n v="139.1"/>
    <n v="142.80000000000001"/>
    <n v="121.7"/>
    <n v="136.69999999999999"/>
    <n v="151.80000000000001"/>
    <n v="139.80000000000001"/>
    <n v="136.30000000000001"/>
    <n v="147"/>
  </r>
  <r>
    <s v="Rural+Urban"/>
    <x v="6"/>
    <s v="November"/>
    <n v="142.5"/>
    <n v="163.19999999999999"/>
    <n v="145.6"/>
    <n v="146.69999999999999"/>
    <n v="124.3"/>
    <n v="147.4"/>
    <n v="199.6"/>
    <n v="135.69999999999999"/>
    <n v="114.2"/>
    <n v="147"/>
    <n v="135.30000000000001"/>
    <n v="157.5"/>
    <n v="151.9"/>
    <n v="167.9"/>
    <n v="149.9"/>
    <n v="141"/>
    <n v="148.6"/>
    <n v="153.5"/>
    <n v="142.30000000000001"/>
    <n v="145.30000000000001"/>
    <n v="149.9"/>
    <n v="126.6"/>
    <n v="142.1"/>
    <n v="155.5"/>
    <n v="140.30000000000001"/>
    <n v="141.30000000000001"/>
    <n v="148.6"/>
  </r>
  <r>
    <s v="Rural"/>
    <x v="6"/>
    <s v="December"/>
    <n v="142.80000000000001"/>
    <n v="165.3"/>
    <n v="149.5"/>
    <n v="148.69999999999999"/>
    <n v="127.5"/>
    <n v="144.30000000000001"/>
    <n v="209.5"/>
    <n v="138.80000000000001"/>
    <n v="113.6"/>
    <n v="149.1"/>
    <n v="139.30000000000001"/>
    <n v="158.30000000000001"/>
    <n v="154.30000000000001"/>
    <n v="167.8"/>
    <n v="152.6"/>
    <n v="147.30000000000001"/>
    <n v="151.9"/>
    <s v="NA"/>
    <n v="149.9"/>
    <n v="151.19999999999999"/>
    <n v="154.80000000000001"/>
    <n v="135"/>
    <n v="149.5"/>
    <n v="161.1"/>
    <n v="140.6"/>
    <n v="147.1"/>
    <n v="152.30000000000001"/>
  </r>
  <r>
    <s v="Urban"/>
    <x v="6"/>
    <s v="December"/>
    <n v="144.9"/>
    <n v="164.5"/>
    <n v="153.69999999999999"/>
    <n v="147.5"/>
    <n v="122.7"/>
    <n v="147.19999999999999"/>
    <n v="231.5"/>
    <n v="137.19999999999999"/>
    <n v="114.7"/>
    <n v="148"/>
    <n v="130.80000000000001"/>
    <n v="157.69999999999999"/>
    <n v="156.30000000000001"/>
    <n v="170.4"/>
    <n v="146.80000000000001"/>
    <n v="132.80000000000001"/>
    <n v="144.6"/>
    <n v="152.80000000000001"/>
    <n v="133.6"/>
    <n v="139.80000000000001"/>
    <n v="143.19999999999999"/>
    <n v="125.2"/>
    <n v="136.80000000000001"/>
    <n v="151.9"/>
    <n v="140.19999999999999"/>
    <n v="137.69999999999999"/>
    <n v="148.30000000000001"/>
  </r>
  <r>
    <s v="Rural+Urban"/>
    <x v="6"/>
    <s v="December"/>
    <n v="143.5"/>
    <n v="165"/>
    <n v="151.1"/>
    <n v="148.30000000000001"/>
    <n v="125.7"/>
    <n v="145.69999999999999"/>
    <n v="217"/>
    <n v="138.30000000000001"/>
    <n v="114"/>
    <n v="148.69999999999999"/>
    <n v="135.80000000000001"/>
    <n v="158"/>
    <n v="155"/>
    <n v="168.5"/>
    <n v="150.30000000000001"/>
    <n v="141.30000000000001"/>
    <n v="149"/>
    <n v="152.80000000000001"/>
    <n v="143.69999999999999"/>
    <n v="145.80000000000001"/>
    <n v="150.4"/>
    <n v="129.80000000000001"/>
    <n v="142.30000000000001"/>
    <n v="155.69999999999999"/>
    <n v="140.4"/>
    <n v="142.5"/>
    <n v="150.4"/>
  </r>
  <r>
    <s v="Rural"/>
    <x v="7"/>
    <s v="January"/>
    <n v="143.69999999999999"/>
    <n v="167.3"/>
    <n v="153.5"/>
    <n v="150.5"/>
    <n v="132"/>
    <n v="142.19999999999999"/>
    <n v="191.5"/>
    <n v="141.1"/>
    <n v="113.8"/>
    <n v="151.6"/>
    <n v="139.69999999999999"/>
    <n v="158.69999999999999"/>
    <n v="153"/>
    <n v="168.6"/>
    <n v="152.80000000000001"/>
    <n v="147.4"/>
    <n v="152.1"/>
    <s v="NA"/>
    <n v="150.4"/>
    <n v="151.69999999999999"/>
    <n v="155.69999999999999"/>
    <n v="136.30000000000001"/>
    <n v="150.1"/>
    <n v="161.69999999999999"/>
    <n v="142.5"/>
    <n v="148.1"/>
    <n v="151.9"/>
  </r>
  <r>
    <s v="Urban"/>
    <x v="7"/>
    <s v="January"/>
    <n v="145.6"/>
    <n v="167.6"/>
    <n v="157"/>
    <n v="149.30000000000001"/>
    <n v="126.3"/>
    <n v="144.4"/>
    <n v="207.8"/>
    <n v="139.1"/>
    <n v="114.8"/>
    <n v="149.5"/>
    <n v="131.1"/>
    <n v="158.5"/>
    <n v="154.4"/>
    <n v="170.8"/>
    <n v="147"/>
    <n v="133.19999999999999"/>
    <n v="144.9"/>
    <n v="153.9"/>
    <n v="135.1"/>
    <n v="140.1"/>
    <n v="143.80000000000001"/>
    <n v="126.1"/>
    <n v="137.19999999999999"/>
    <n v="152.1"/>
    <n v="142.1"/>
    <n v="138.4"/>
    <n v="148.19999999999999"/>
  </r>
  <r>
    <s v="Rural+Urban"/>
    <x v="7"/>
    <s v="January"/>
    <n v="144.30000000000001"/>
    <n v="167.4"/>
    <n v="154.9"/>
    <n v="150.1"/>
    <n v="129.9"/>
    <n v="143.19999999999999"/>
    <n v="197"/>
    <n v="140.4"/>
    <n v="114.1"/>
    <n v="150.9"/>
    <n v="136.1"/>
    <n v="158.6"/>
    <n v="153.5"/>
    <n v="169.2"/>
    <n v="150.5"/>
    <n v="141.5"/>
    <n v="149.19999999999999"/>
    <n v="153.9"/>
    <n v="144.6"/>
    <n v="146.19999999999999"/>
    <n v="151.19999999999999"/>
    <n v="130.9"/>
    <n v="142.80000000000001"/>
    <n v="156.1"/>
    <n v="142.30000000000001"/>
    <n v="143.4"/>
    <n v="150.19999999999999"/>
  </r>
  <r>
    <s v="Rural"/>
    <x v="7"/>
    <s v="February"/>
    <n v="144.19999999999999"/>
    <n v="167.5"/>
    <n v="150.9"/>
    <n v="150.9"/>
    <n v="133.69999999999999"/>
    <n v="140.69999999999999"/>
    <n v="165.1"/>
    <n v="141.80000000000001"/>
    <n v="113.1"/>
    <n v="152.80000000000001"/>
    <n v="140.1"/>
    <n v="159.19999999999999"/>
    <n v="149.80000000000001"/>
    <n v="169.4"/>
    <n v="153"/>
    <n v="147.5"/>
    <n v="152.30000000000001"/>
    <s v="NA"/>
    <n v="152.30000000000001"/>
    <n v="151.80000000000001"/>
    <n v="156.19999999999999"/>
    <n v="136"/>
    <n v="150.4"/>
    <n v="161.9"/>
    <n v="143.4"/>
    <n v="148.4"/>
    <n v="150.4"/>
  </r>
  <r>
    <s v="Urban"/>
    <x v="7"/>
    <s v="February"/>
    <n v="146.19999999999999"/>
    <n v="167.6"/>
    <n v="153.1"/>
    <n v="150.69999999999999"/>
    <n v="127.4"/>
    <n v="143.1"/>
    <n v="181.7"/>
    <n v="139.6"/>
    <n v="114.6"/>
    <n v="150.4"/>
    <n v="131.5"/>
    <n v="159"/>
    <n v="151.69999999999999"/>
    <n v="172"/>
    <n v="147.30000000000001"/>
    <n v="133.5"/>
    <n v="145.19999999999999"/>
    <n v="154.80000000000001"/>
    <n v="138.9"/>
    <n v="140.4"/>
    <n v="144.4"/>
    <n v="125.2"/>
    <n v="137.69999999999999"/>
    <n v="152.19999999999999"/>
    <n v="143.5"/>
    <n v="138.4"/>
    <n v="147.69999999999999"/>
  </r>
  <r>
    <s v="Rural+Urban"/>
    <x v="7"/>
    <s v="February"/>
    <n v="144.80000000000001"/>
    <n v="167.5"/>
    <n v="151.80000000000001"/>
    <n v="150.80000000000001"/>
    <n v="131.4"/>
    <n v="141.80000000000001"/>
    <n v="170.7"/>
    <n v="141.1"/>
    <n v="113.6"/>
    <n v="152"/>
    <n v="136.5"/>
    <n v="159.1"/>
    <n v="150.5"/>
    <n v="170.1"/>
    <n v="150.80000000000001"/>
    <n v="141.69999999999999"/>
    <n v="149.5"/>
    <n v="154.80000000000001"/>
    <n v="147.19999999999999"/>
    <n v="146.4"/>
    <n v="151.69999999999999"/>
    <n v="130.30000000000001"/>
    <n v="143.19999999999999"/>
    <n v="156.19999999999999"/>
    <n v="143.4"/>
    <n v="143.6"/>
    <n v="149.1"/>
  </r>
  <r>
    <s v="Rural"/>
    <x v="7"/>
    <s v="March"/>
    <n v="144.4"/>
    <n v="166.8"/>
    <n v="147.6"/>
    <n v="151.69999999999999"/>
    <n v="133.30000000000001"/>
    <n v="141.80000000000001"/>
    <n v="152.30000000000001"/>
    <n v="141.80000000000001"/>
    <n v="112.6"/>
    <n v="154"/>
    <n v="140.1"/>
    <n v="160"/>
    <n v="148.19999999999999"/>
    <n v="170.5"/>
    <n v="153.4"/>
    <n v="147.6"/>
    <n v="152.5"/>
    <s v="NA"/>
    <n v="153.4"/>
    <n v="151.5"/>
    <n v="156.69999999999999"/>
    <n v="135.80000000000001"/>
    <n v="151.19999999999999"/>
    <n v="161.19999999999999"/>
    <n v="145.1"/>
    <n v="148.6"/>
    <n v="149.80000000000001"/>
  </r>
  <r>
    <s v="Urban"/>
    <x v="7"/>
    <s v="March"/>
    <n v="146.5"/>
    <n v="167.5"/>
    <n v="148.9"/>
    <n v="151.1"/>
    <n v="127.5"/>
    <n v="143.30000000000001"/>
    <n v="167"/>
    <n v="139.69999999999999"/>
    <n v="114.4"/>
    <n v="151.5"/>
    <n v="131.9"/>
    <n v="159.1"/>
    <n v="150.1"/>
    <n v="173.3"/>
    <n v="147.69999999999999"/>
    <n v="133.80000000000001"/>
    <n v="145.6"/>
    <n v="154.5"/>
    <n v="141.4"/>
    <n v="140.80000000000001"/>
    <n v="145"/>
    <n v="124.6"/>
    <n v="137.9"/>
    <n v="152.5"/>
    <n v="145.30000000000001"/>
    <n v="138.69999999999999"/>
    <n v="147.30000000000001"/>
  </r>
  <r>
    <s v="Rural+Urban"/>
    <x v="7"/>
    <s v="March"/>
    <n v="145.1"/>
    <n v="167"/>
    <n v="148.1"/>
    <n v="151.5"/>
    <n v="131.19999999999999"/>
    <n v="142.5"/>
    <n v="157.30000000000001"/>
    <n v="141.1"/>
    <n v="113.2"/>
    <n v="153.19999999999999"/>
    <n v="136.69999999999999"/>
    <n v="159.6"/>
    <n v="148.9"/>
    <n v="171.2"/>
    <n v="151.19999999999999"/>
    <n v="141.9"/>
    <n v="149.80000000000001"/>
    <n v="154.5"/>
    <n v="148.9"/>
    <n v="146.4"/>
    <n v="152.30000000000001"/>
    <n v="129.9"/>
    <n v="143.69999999999999"/>
    <n v="156.1"/>
    <n v="145.19999999999999"/>
    <n v="143.80000000000001"/>
    <n v="148.6"/>
  </r>
  <r>
    <s v="Rural"/>
    <x v="7"/>
    <s v="April"/>
    <n v="147.19999999999999"/>
    <s v="NA"/>
    <n v="146.9"/>
    <n v="155.6"/>
    <n v="137.1"/>
    <n v="147.30000000000001"/>
    <n v="162.69999999999999"/>
    <n v="150.19999999999999"/>
    <n v="119.8"/>
    <n v="158.69999999999999"/>
    <n v="139.19999999999999"/>
    <s v="NA"/>
    <n v="150.1"/>
    <s v="NA"/>
    <s v="NA"/>
    <s v="NA"/>
    <s v="NA"/>
    <s v="NA"/>
    <n v="148.4"/>
    <s v="NA"/>
    <n v="154.30000000000001"/>
    <s v="NA"/>
    <s v="NA"/>
    <s v="NA"/>
    <s v="NA"/>
    <s v="NA"/>
    <s v="NA"/>
  </r>
  <r>
    <s v="Urban"/>
    <x v="7"/>
    <s v="April"/>
    <n v="151.80000000000001"/>
    <s v="NA"/>
    <n v="151.9"/>
    <n v="155.5"/>
    <n v="131.6"/>
    <n v="152.9"/>
    <n v="180"/>
    <n v="150.80000000000001"/>
    <n v="121.2"/>
    <n v="154"/>
    <n v="133.5"/>
    <s v="NA"/>
    <n v="153.5"/>
    <s v="NA"/>
    <s v="NA"/>
    <s v="NA"/>
    <s v="NA"/>
    <n v="155.6"/>
    <n v="137.1"/>
    <s v="NA"/>
    <n v="144.80000000000001"/>
    <s v="NA"/>
    <s v="NA"/>
    <s v="NA"/>
    <s v="NA"/>
    <s v="NA"/>
    <s v="NA"/>
  </r>
  <r>
    <s v="Rural+Urban"/>
    <x v="7"/>
    <s v="April"/>
    <n v="148.69999999999999"/>
    <s v="NA"/>
    <n v="148.80000000000001"/>
    <n v="155.6"/>
    <n v="135.1"/>
    <n v="149.9"/>
    <n v="168.6"/>
    <n v="150.4"/>
    <n v="120.3"/>
    <n v="157.1"/>
    <n v="136.80000000000001"/>
    <s v="NA"/>
    <n v="151.4"/>
    <s v="NA"/>
    <s v="NA"/>
    <s v="NA"/>
    <s v="NA"/>
    <n v="155.6"/>
    <n v="144.1"/>
    <s v="NA"/>
    <n v="150.69999999999999"/>
    <s v="NA"/>
    <s v="NA"/>
    <s v="NA"/>
    <s v="NA"/>
    <s v="NA"/>
    <s v="NA"/>
  </r>
  <r>
    <s v="Rural"/>
    <x v="7"/>
    <s v="May"/>
    <s v="NA"/>
    <s v="NA"/>
    <s v="NA"/>
    <s v="NA"/>
    <s v="NA"/>
    <s v="NA"/>
    <s v="NA"/>
    <s v="NA"/>
    <s v="NA"/>
    <s v="NA"/>
    <s v="NA"/>
    <s v="NA"/>
    <s v="NA"/>
    <s v="NA"/>
    <s v="NA"/>
    <s v="NA"/>
    <s v="NA"/>
    <s v="NA"/>
    <s v="NA"/>
    <s v="NA"/>
    <s v="NA"/>
    <s v="NA"/>
    <s v="NA"/>
    <s v="NA"/>
    <s v="NA"/>
    <s v="NA"/>
    <s v="NA"/>
  </r>
  <r>
    <s v="Urban"/>
    <x v="7"/>
    <s v="May"/>
    <s v="NA"/>
    <s v="NA"/>
    <s v="NA"/>
    <s v="NA"/>
    <s v="NA"/>
    <s v="NA"/>
    <s v="NA"/>
    <s v="NA"/>
    <s v="NA"/>
    <s v="NA"/>
    <s v="NA"/>
    <s v="NA"/>
    <s v="NA"/>
    <s v="NA"/>
    <s v="NA"/>
    <s v="NA"/>
    <s v="NA"/>
    <s v="NA"/>
    <s v="NA"/>
    <s v="NA"/>
    <s v="NA"/>
    <s v="NA"/>
    <s v="NA"/>
    <s v="NA"/>
    <s v="NA"/>
    <s v="NA"/>
    <s v="NA"/>
  </r>
  <r>
    <s v="Rural+Urban"/>
    <x v="7"/>
    <s v="May"/>
    <s v="NA"/>
    <s v="NA"/>
    <s v="NA"/>
    <s v="NA"/>
    <s v="NA"/>
    <s v="NA"/>
    <s v="NA"/>
    <s v="NA"/>
    <s v="NA"/>
    <s v="NA"/>
    <s v="NA"/>
    <s v="NA"/>
    <s v="NA"/>
    <s v="NA"/>
    <s v="NA"/>
    <s v="NA"/>
    <s v="NA"/>
    <s v="NA"/>
    <s v="NA"/>
    <s v="NA"/>
    <s v="NA"/>
    <s v="NA"/>
    <s v="NA"/>
    <s v="NA"/>
    <s v="NA"/>
    <s v="NA"/>
    <s v="NA"/>
  </r>
  <r>
    <s v="Rural"/>
    <x v="7"/>
    <s v="June"/>
    <n v="148.19999999999999"/>
    <n v="190.3"/>
    <n v="149.4"/>
    <n v="153.30000000000001"/>
    <n v="138.19999999999999"/>
    <n v="143.19999999999999"/>
    <n v="148.9"/>
    <n v="150.30000000000001"/>
    <n v="113.2"/>
    <n v="159.80000000000001"/>
    <n v="142.1"/>
    <n v="161.80000000000001"/>
    <n v="152.30000000000001"/>
    <n v="182.4"/>
    <n v="154.69999999999999"/>
    <n v="150"/>
    <n v="154.1"/>
    <s v="NA"/>
    <n v="144.9"/>
    <n v="151.69999999999999"/>
    <n v="158.19999999999999"/>
    <n v="141.4"/>
    <n v="153.19999999999999"/>
    <n v="161.80000000000001"/>
    <n v="151.19999999999999"/>
    <n v="151.69999999999999"/>
    <n v="152.69999999999999"/>
  </r>
  <r>
    <s v="Urban"/>
    <x v="7"/>
    <s v="June"/>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r>
  <r>
    <s v="Rural+Urban"/>
    <x v="7"/>
    <s v="June"/>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
    <x v="7"/>
    <s v="July"/>
    <n v="148.19999999999999"/>
    <n v="190.3"/>
    <n v="149.4"/>
    <n v="153.30000000000001"/>
    <n v="138.19999999999999"/>
    <n v="143.19999999999999"/>
    <n v="148.9"/>
    <n v="150.30000000000001"/>
    <n v="113.2"/>
    <n v="159.80000000000001"/>
    <n v="142.1"/>
    <n v="161.80000000000001"/>
    <n v="152.30000000000001"/>
    <n v="182.4"/>
    <n v="154.69999999999999"/>
    <n v="150"/>
    <n v="154.1"/>
    <s v="NA"/>
    <n v="144.9"/>
    <n v="151.69999999999999"/>
    <n v="158.19999999999999"/>
    <n v="141.4"/>
    <n v="153.19999999999999"/>
    <n v="161.80000000000001"/>
    <n v="151.19999999999999"/>
    <n v="151.69999999999999"/>
    <n v="152.69999999999999"/>
  </r>
  <r>
    <s v="Urban"/>
    <x v="7"/>
    <s v="July"/>
    <n v="152.69999999999999"/>
    <n v="197"/>
    <n v="154.6"/>
    <n v="153.4"/>
    <n v="132.9"/>
    <n v="151.80000000000001"/>
    <n v="171.2"/>
    <n v="152"/>
    <n v="116.3"/>
    <n v="158.80000000000001"/>
    <n v="135.6"/>
    <n v="161.69999999999999"/>
    <n v="157"/>
    <n v="186.7"/>
    <n v="149.1"/>
    <n v="136.6"/>
    <n v="147.19999999999999"/>
    <n v="154.69999999999999"/>
    <n v="137.1"/>
    <n v="140.4"/>
    <n v="148.1"/>
    <n v="129.30000000000001"/>
    <n v="144.5"/>
    <n v="152.5"/>
    <n v="152.19999999999999"/>
    <n v="142"/>
    <n v="150.80000000000001"/>
  </r>
  <r>
    <s v="Rural+Urban"/>
    <x v="7"/>
    <s v="July"/>
    <n v="149.6"/>
    <n v="192.7"/>
    <n v="151.4"/>
    <n v="153.30000000000001"/>
    <n v="136.30000000000001"/>
    <n v="147.19999999999999"/>
    <n v="156.5"/>
    <n v="150.9"/>
    <n v="114.2"/>
    <n v="159.5"/>
    <n v="139.4"/>
    <n v="161.80000000000001"/>
    <n v="154"/>
    <n v="183.5"/>
    <n v="152.5"/>
    <n v="144.4"/>
    <n v="151.4"/>
    <n v="154.69999999999999"/>
    <n v="141.9"/>
    <n v="146.4"/>
    <n v="154.4"/>
    <n v="135"/>
    <n v="148.30000000000001"/>
    <n v="156.4"/>
    <n v="151.6"/>
    <n v="147"/>
    <n v="151.80000000000001"/>
  </r>
  <r>
    <s v="Rural"/>
    <x v="7"/>
    <s v="August"/>
    <n v="147.6"/>
    <n v="187.2"/>
    <n v="148.4"/>
    <n v="153.30000000000001"/>
    <n v="139.80000000000001"/>
    <n v="146.9"/>
    <n v="171"/>
    <n v="149.9"/>
    <n v="114.2"/>
    <n v="160"/>
    <n v="143.5"/>
    <n v="161.5"/>
    <n v="155.30000000000001"/>
    <n v="180.9"/>
    <n v="155.1"/>
    <n v="149.30000000000001"/>
    <n v="154.30000000000001"/>
    <s v="NA"/>
    <n v="145.80000000000001"/>
    <n v="151.9"/>
    <n v="158.80000000000001"/>
    <n v="143.6"/>
    <n v="152.19999999999999"/>
    <n v="162.69999999999999"/>
    <n v="153.6"/>
    <n v="153"/>
    <n v="154.69999999999999"/>
  </r>
  <r>
    <s v="Urban"/>
    <x v="7"/>
    <s v="August"/>
    <n v="151.6"/>
    <n v="197.8"/>
    <n v="154.5"/>
    <n v="153.4"/>
    <n v="133.4"/>
    <n v="154.5"/>
    <n v="191.9"/>
    <n v="151.30000000000001"/>
    <n v="116.8"/>
    <n v="160"/>
    <n v="136.5"/>
    <n v="163.30000000000001"/>
    <n v="159.9"/>
    <n v="187.2"/>
    <n v="150"/>
    <n v="135.19999999999999"/>
    <n v="147.80000000000001"/>
    <n v="155.5"/>
    <n v="138.30000000000001"/>
    <n v="144.5"/>
    <n v="148.69999999999999"/>
    <n v="133.9"/>
    <n v="141.19999999999999"/>
    <n v="155.5"/>
    <n v="155.19999999999999"/>
    <n v="144.80000000000001"/>
    <n v="152.9"/>
  </r>
  <r>
    <s v="Rural+Urban"/>
    <x v="7"/>
    <s v="August"/>
    <n v="148.9"/>
    <n v="190.9"/>
    <n v="150.80000000000001"/>
    <n v="153.30000000000001"/>
    <n v="137.4"/>
    <n v="150.4"/>
    <n v="178.1"/>
    <n v="150.4"/>
    <n v="115.1"/>
    <n v="160"/>
    <n v="140.6"/>
    <n v="162.30000000000001"/>
    <n v="157"/>
    <n v="182.6"/>
    <n v="153.1"/>
    <n v="143.4"/>
    <n v="151.69999999999999"/>
    <n v="155.5"/>
    <n v="143"/>
    <n v="148.4"/>
    <n v="155"/>
    <n v="138.5"/>
    <n v="146"/>
    <n v="158.5"/>
    <n v="154.30000000000001"/>
    <n v="149"/>
    <n v="153.9"/>
  </r>
  <r>
    <s v="Rural"/>
    <x v="7"/>
    <s v="September"/>
    <n v="146.9"/>
    <n v="183.9"/>
    <n v="149.5"/>
    <n v="153.4"/>
    <n v="140.4"/>
    <n v="147"/>
    <n v="178.8"/>
    <n v="149.30000000000001"/>
    <n v="115.1"/>
    <n v="160"/>
    <n v="145.4"/>
    <n v="161.6"/>
    <n v="156.1"/>
    <n v="182.9"/>
    <n v="155.4"/>
    <n v="149.9"/>
    <n v="154.6"/>
    <s v="NA"/>
    <n v="146.4"/>
    <n v="151.6"/>
    <n v="159.1"/>
    <n v="144.6"/>
    <n v="152.80000000000001"/>
    <n v="161.1"/>
    <n v="157.4"/>
    <n v="153.69999999999999"/>
    <n v="155.4"/>
  </r>
  <r>
    <s v="Urban"/>
    <x v="7"/>
    <s v="September"/>
    <n v="151.5"/>
    <n v="193.1"/>
    <n v="157.30000000000001"/>
    <n v="153.9"/>
    <n v="134.4"/>
    <n v="155.4"/>
    <n v="202"/>
    <n v="150.80000000000001"/>
    <n v="118.9"/>
    <n v="160.9"/>
    <n v="137.69999999999999"/>
    <n v="164.4"/>
    <n v="161.30000000000001"/>
    <n v="188.7"/>
    <n v="150.19999999999999"/>
    <n v="136.30000000000001"/>
    <n v="148.1"/>
    <n v="156.30000000000001"/>
    <n v="137.19999999999999"/>
    <n v="145.4"/>
    <n v="150"/>
    <n v="135.1"/>
    <n v="141.80000000000001"/>
    <n v="154.9"/>
    <n v="159.80000000000001"/>
    <n v="146"/>
    <n v="154"/>
  </r>
  <r>
    <s v="Rural+Urban"/>
    <x v="7"/>
    <s v="September"/>
    <n v="148.4"/>
    <n v="187.1"/>
    <n v="152.5"/>
    <n v="153.6"/>
    <n v="138.19999999999999"/>
    <n v="150.9"/>
    <n v="186.7"/>
    <n v="149.80000000000001"/>
    <n v="116.4"/>
    <n v="160.30000000000001"/>
    <n v="142.19999999999999"/>
    <n v="162.9"/>
    <n v="158"/>
    <n v="184.4"/>
    <n v="153.4"/>
    <n v="144.30000000000001"/>
    <n v="152"/>
    <n v="156.30000000000001"/>
    <n v="142.9"/>
    <n v="148.69999999999999"/>
    <n v="155.6"/>
    <n v="139.6"/>
    <n v="146.6"/>
    <n v="157.5"/>
    <n v="158.4"/>
    <n v="150"/>
    <n v="154.69999999999999"/>
  </r>
  <r>
    <s v="Rural"/>
    <x v="7"/>
    <s v="October"/>
    <n v="146"/>
    <n v="186.3"/>
    <n v="159.19999999999999"/>
    <n v="153.6"/>
    <n v="142.6"/>
    <n v="147.19999999999999"/>
    <n v="200.6"/>
    <n v="150.30000000000001"/>
    <n v="115.3"/>
    <n v="160.9"/>
    <n v="147.4"/>
    <n v="161.9"/>
    <n v="159.6"/>
    <n v="182.7"/>
    <n v="155.69999999999999"/>
    <n v="150.6"/>
    <n v="155"/>
    <s v="NA"/>
    <n v="146.80000000000001"/>
    <n v="152"/>
    <n v="159.5"/>
    <n v="146.4"/>
    <n v="152.4"/>
    <n v="162.5"/>
    <n v="156.19999999999999"/>
    <n v="154.30000000000001"/>
    <n v="157.5"/>
  </r>
  <r>
    <s v="Urban"/>
    <x v="7"/>
    <s v="October"/>
    <n v="150.6"/>
    <n v="193.7"/>
    <n v="164.8"/>
    <n v="153.69999999999999"/>
    <n v="135.69999999999999"/>
    <n v="155.69999999999999"/>
    <n v="226"/>
    <n v="152.19999999999999"/>
    <n v="118.1"/>
    <n v="161.30000000000001"/>
    <n v="139.19999999999999"/>
    <n v="164.8"/>
    <n v="164.4"/>
    <n v="188.7"/>
    <n v="150.5"/>
    <n v="136.1"/>
    <n v="148.30000000000001"/>
    <n v="156.5"/>
    <n v="137.1"/>
    <n v="145.1"/>
    <n v="151"/>
    <n v="135.4"/>
    <n v="142"/>
    <n v="155.69999999999999"/>
    <n v="158.1"/>
    <n v="146.19999999999999"/>
    <n v="155.19999999999999"/>
  </r>
  <r>
    <s v="Rural+Urban"/>
    <x v="7"/>
    <s v="October"/>
    <n v="147.5"/>
    <n v="188.9"/>
    <n v="161.4"/>
    <n v="153.6"/>
    <n v="140.1"/>
    <n v="151.19999999999999"/>
    <n v="209.2"/>
    <n v="150.9"/>
    <n v="116.2"/>
    <n v="161"/>
    <n v="144"/>
    <n v="163.19999999999999"/>
    <n v="161.4"/>
    <n v="184.3"/>
    <n v="153.69999999999999"/>
    <n v="144.6"/>
    <n v="152.30000000000001"/>
    <n v="156.5"/>
    <n v="143.1"/>
    <n v="148.69999999999999"/>
    <n v="156.30000000000001"/>
    <n v="140.6"/>
    <n v="146.5"/>
    <n v="158.5"/>
    <n v="157"/>
    <n v="150.4"/>
    <n v="156.4"/>
  </r>
  <r>
    <s v="Rural"/>
    <x v="7"/>
    <s v="November"/>
    <n v="145.4"/>
    <n v="188.6"/>
    <n v="171.6"/>
    <n v="153.80000000000001"/>
    <n v="145.4"/>
    <n v="146.5"/>
    <n v="222.2"/>
    <n v="155.9"/>
    <n v="114.9"/>
    <n v="162"/>
    <n v="150"/>
    <n v="162.69999999999999"/>
    <n v="163.4"/>
    <n v="183.4"/>
    <n v="156.30000000000001"/>
    <n v="151"/>
    <n v="155.5"/>
    <s v="NA"/>
    <n v="147.5"/>
    <n v="152.80000000000001"/>
    <n v="160.4"/>
    <n v="146.1"/>
    <n v="153.6"/>
    <n v="161.6"/>
    <n v="156.19999999999999"/>
    <n v="154.5"/>
    <n v="159.80000000000001"/>
  </r>
  <r>
    <s v="Urban"/>
    <x v="7"/>
    <s v="November"/>
    <n v="149.69999999999999"/>
    <n v="195.5"/>
    <n v="176.9"/>
    <n v="153.9"/>
    <n v="138"/>
    <n v="150.5"/>
    <n v="245.3"/>
    <n v="158.69999999999999"/>
    <n v="117.2"/>
    <n v="161.4"/>
    <n v="141.5"/>
    <n v="165.1"/>
    <n v="167"/>
    <n v="188.8"/>
    <n v="151.1"/>
    <n v="136.4"/>
    <n v="148.80000000000001"/>
    <n v="158"/>
    <n v="137.30000000000001"/>
    <n v="145.1"/>
    <n v="152"/>
    <n v="135.19999999999999"/>
    <n v="144.4"/>
    <n v="156.4"/>
    <n v="157.9"/>
    <n v="146.6"/>
    <n v="156.69999999999999"/>
  </r>
  <r>
    <s v="Rural+Urban"/>
    <x v="7"/>
    <s v="November"/>
    <n v="146.80000000000001"/>
    <n v="191"/>
    <n v="173.6"/>
    <n v="153.80000000000001"/>
    <n v="142.69999999999999"/>
    <n v="148.4"/>
    <n v="230"/>
    <n v="156.80000000000001"/>
    <n v="115.7"/>
    <n v="161.80000000000001"/>
    <n v="146.5"/>
    <n v="163.80000000000001"/>
    <n v="164.7"/>
    <n v="184.8"/>
    <n v="154.30000000000001"/>
    <n v="144.9"/>
    <n v="152.80000000000001"/>
    <n v="158"/>
    <n v="143.6"/>
    <n v="149.19999999999999"/>
    <n v="157.19999999999999"/>
    <n v="140.4"/>
    <n v="148.4"/>
    <n v="158.6"/>
    <n v="156.9"/>
    <n v="150.69999999999999"/>
    <n v="158.4"/>
  </r>
  <r>
    <s v="Rural"/>
    <x v="7"/>
    <s v="December"/>
    <n v="144.6"/>
    <n v="188.5"/>
    <n v="173.4"/>
    <n v="154"/>
    <n v="150"/>
    <n v="145.9"/>
    <n v="225.2"/>
    <n v="159.5"/>
    <n v="114.4"/>
    <n v="163.5"/>
    <n v="153.4"/>
    <n v="163.6"/>
    <n v="164.5"/>
    <n v="183.6"/>
    <n v="157"/>
    <n v="151.6"/>
    <n v="156.30000000000001"/>
    <s v="NA"/>
    <n v="148.69999999999999"/>
    <n v="153.4"/>
    <n v="161.6"/>
    <n v="146.4"/>
    <n v="153.9"/>
    <n v="162.9"/>
    <n v="156.6"/>
    <n v="155.19999999999999"/>
    <n v="160.69999999999999"/>
  </r>
  <r>
    <s v="Urban"/>
    <x v="7"/>
    <s v="December"/>
    <n v="149"/>
    <n v="195.7"/>
    <n v="178.3"/>
    <n v="154.19999999999999"/>
    <n v="140.69999999999999"/>
    <n v="149.69999999999999"/>
    <n v="240.9"/>
    <n v="161.5"/>
    <n v="117.1"/>
    <n v="161.9"/>
    <n v="143.30000000000001"/>
    <n v="166.1"/>
    <n v="167"/>
    <n v="190.2"/>
    <n v="151.9"/>
    <n v="136.69999999999999"/>
    <n v="149.6"/>
    <n v="158.4"/>
    <n v="137.9"/>
    <n v="145.5"/>
    <n v="152.9"/>
    <n v="135.5"/>
    <n v="144.30000000000001"/>
    <n v="156.9"/>
    <n v="157.9"/>
    <n v="146.9"/>
    <n v="156.9"/>
  </r>
  <r>
    <s v="Rural+Urban"/>
    <x v="7"/>
    <s v="December"/>
    <n v="146"/>
    <n v="191"/>
    <n v="175.3"/>
    <n v="154.1"/>
    <n v="146.6"/>
    <n v="147.69999999999999"/>
    <n v="230.5"/>
    <n v="160.19999999999999"/>
    <n v="115.3"/>
    <n v="163"/>
    <n v="149.19999999999999"/>
    <n v="164.8"/>
    <n v="165.4"/>
    <n v="185.4"/>
    <n v="155"/>
    <n v="145.4"/>
    <n v="153.6"/>
    <n v="158.4"/>
    <n v="144.6"/>
    <n v="149.69999999999999"/>
    <n v="158.30000000000001"/>
    <n v="140.69999999999999"/>
    <n v="148.5"/>
    <n v="159.4"/>
    <n v="157.1"/>
    <n v="151.19999999999999"/>
    <n v="158.9"/>
  </r>
  <r>
    <s v="Rural"/>
    <x v="8"/>
    <s v="January"/>
    <n v="143.4"/>
    <n v="187.5"/>
    <n v="173.4"/>
    <n v="154"/>
    <n v="154.80000000000001"/>
    <n v="147"/>
    <n v="187.8"/>
    <n v="159.5"/>
    <n v="113.8"/>
    <n v="164.5"/>
    <n v="156.1"/>
    <n v="164.3"/>
    <n v="159.6"/>
    <n v="184.6"/>
    <n v="157.5"/>
    <n v="152.4"/>
    <n v="156.80000000000001"/>
    <s v="NA"/>
    <n v="150.9"/>
    <n v="153.9"/>
    <n v="162.5"/>
    <n v="147.5"/>
    <n v="155.1"/>
    <n v="163.5"/>
    <n v="156.19999999999999"/>
    <n v="155.9"/>
    <n v="158.5"/>
  </r>
  <r>
    <s v="Urban"/>
    <x v="8"/>
    <s v="January"/>
    <n v="148"/>
    <n v="194.8"/>
    <n v="178.4"/>
    <n v="154.4"/>
    <n v="144.1"/>
    <n v="152.6"/>
    <n v="206.8"/>
    <n v="162.1"/>
    <n v="116.3"/>
    <n v="163"/>
    <n v="145.9"/>
    <n v="167.2"/>
    <n v="163.4"/>
    <n v="191.8"/>
    <n v="152.5"/>
    <n v="137.30000000000001"/>
    <n v="150.19999999999999"/>
    <n v="157.69999999999999"/>
    <n v="142.9"/>
    <n v="145.69999999999999"/>
    <n v="154.1"/>
    <n v="136.9"/>
    <n v="145.4"/>
    <n v="156.1"/>
    <n v="157.69999999999999"/>
    <n v="147.6"/>
    <n v="156"/>
  </r>
  <r>
    <s v="Rural+Urban"/>
    <x v="8"/>
    <s v="January"/>
    <n v="144.9"/>
    <n v="190.1"/>
    <n v="175.3"/>
    <n v="154.1"/>
    <n v="150.9"/>
    <n v="149.6"/>
    <n v="194.2"/>
    <n v="160.4"/>
    <n v="114.6"/>
    <n v="164"/>
    <n v="151.80000000000001"/>
    <n v="165.6"/>
    <n v="161"/>
    <n v="186.5"/>
    <n v="155.5"/>
    <n v="146.1"/>
    <n v="154.19999999999999"/>
    <n v="157.69999999999999"/>
    <n v="147.9"/>
    <n v="150"/>
    <n v="159.30000000000001"/>
    <n v="141.9"/>
    <n v="149.6"/>
    <n v="159.19999999999999"/>
    <n v="156.80000000000001"/>
    <n v="151.9"/>
    <n v="157.30000000000001"/>
  </r>
  <r>
    <s v="Rural"/>
    <x v="8"/>
    <s v="February"/>
    <n v="142.80000000000001"/>
    <n v="184"/>
    <n v="168"/>
    <n v="154.4"/>
    <n v="163"/>
    <n v="147.80000000000001"/>
    <n v="149.69999999999999"/>
    <n v="158.30000000000001"/>
    <n v="111.8"/>
    <n v="165"/>
    <n v="160"/>
    <n v="165.8"/>
    <n v="154.69999999999999"/>
    <n v="186.5"/>
    <n v="159.1"/>
    <n v="153.9"/>
    <n v="158.4"/>
    <s v="NA"/>
    <n v="154.4"/>
    <n v="154.80000000000001"/>
    <n v="164.3"/>
    <n v="150.19999999999999"/>
    <n v="157"/>
    <n v="163.6"/>
    <n v="155.19999999999999"/>
    <n v="157.19999999999999"/>
    <n v="156.69999999999999"/>
  </r>
  <r>
    <s v="Urban"/>
    <x v="8"/>
    <s v="February"/>
    <n v="147.6"/>
    <n v="191.2"/>
    <n v="169.9"/>
    <n v="155.1"/>
    <n v="151.4"/>
    <n v="154"/>
    <n v="180.2"/>
    <n v="159.80000000000001"/>
    <n v="114.9"/>
    <n v="162.5"/>
    <n v="149.19999999999999"/>
    <n v="169.4"/>
    <n v="160.80000000000001"/>
    <n v="193.3"/>
    <n v="154.19999999999999"/>
    <n v="138.19999999999999"/>
    <n v="151.80000000000001"/>
    <n v="159.80000000000001"/>
    <n v="149.1"/>
    <n v="146.5"/>
    <n v="156.30000000000001"/>
    <n v="140.5"/>
    <n v="147.30000000000001"/>
    <n v="156.6"/>
    <n v="156.69999999999999"/>
    <n v="149.30000000000001"/>
    <n v="156.5"/>
  </r>
  <r>
    <s v="Rural+Urban"/>
    <x v="8"/>
    <s v="February"/>
    <n v="144.30000000000001"/>
    <n v="186.5"/>
    <n v="168.7"/>
    <n v="154.69999999999999"/>
    <n v="158.69999999999999"/>
    <n v="150.69999999999999"/>
    <n v="160"/>
    <n v="158.80000000000001"/>
    <n v="112.8"/>
    <n v="164.2"/>
    <n v="155.5"/>
    <n v="167.5"/>
    <n v="156.9"/>
    <n v="188.3"/>
    <n v="157.19999999999999"/>
    <n v="147.4"/>
    <n v="155.80000000000001"/>
    <n v="159.80000000000001"/>
    <n v="152.4"/>
    <n v="150.9"/>
    <n v="161.30000000000001"/>
    <n v="145.1"/>
    <n v="151.5"/>
    <n v="159.5"/>
    <n v="155.80000000000001"/>
    <n v="153.4"/>
    <n v="156.6"/>
  </r>
  <r>
    <s v="Rural"/>
    <x v="8"/>
    <s v="March"/>
    <n v="142.5"/>
    <n v="189.4"/>
    <n v="163.19999999999999"/>
    <n v="154.5"/>
    <n v="168.2"/>
    <n v="150.5"/>
    <n v="141"/>
    <n v="159.19999999999999"/>
    <n v="111.7"/>
    <n v="164"/>
    <n v="160.6"/>
    <n v="166.4"/>
    <n v="154.5"/>
    <n v="186.1"/>
    <n v="159.6"/>
    <n v="154.4"/>
    <n v="158.9"/>
    <s v="-"/>
    <n v="156"/>
    <n v="154.80000000000001"/>
    <n v="164.6"/>
    <n v="151.30000000000001"/>
    <n v="157.80000000000001"/>
    <n v="163.80000000000001"/>
    <n v="153.1"/>
    <n v="157.30000000000001"/>
    <n v="156.69999999999999"/>
  </r>
  <r>
    <s v="Urban"/>
    <x v="8"/>
    <s v="March"/>
    <n v="147.5"/>
    <n v="197.5"/>
    <n v="164.7"/>
    <n v="155.6"/>
    <n v="156.4"/>
    <n v="157.30000000000001"/>
    <n v="166.1"/>
    <n v="161.1"/>
    <n v="114.3"/>
    <n v="162.6"/>
    <n v="150.69999999999999"/>
    <n v="170.3"/>
    <n v="160.4"/>
    <n v="193.5"/>
    <n v="155.1"/>
    <n v="138.69999999999999"/>
    <n v="152.6"/>
    <n v="159.9"/>
    <n v="154.80000000000001"/>
    <n v="147.19999999999999"/>
    <n v="156.9"/>
    <n v="141.69999999999999"/>
    <n v="148.6"/>
    <n v="157.6"/>
    <n v="154.9"/>
    <n v="150"/>
    <n v="156.9"/>
  </r>
  <r>
    <s v="Rural+Urban"/>
    <x v="8"/>
    <s v="March"/>
    <n v="144.1"/>
    <n v="192.2"/>
    <n v="163.80000000000001"/>
    <n v="154.9"/>
    <n v="163.9"/>
    <n v="153.69999999999999"/>
    <n v="149.5"/>
    <n v="159.80000000000001"/>
    <n v="112.6"/>
    <n v="163.5"/>
    <n v="156.5"/>
    <n v="168.2"/>
    <n v="156.69999999999999"/>
    <n v="188.1"/>
    <n v="157.80000000000001"/>
    <n v="147.9"/>
    <n v="156.4"/>
    <n v="159.9"/>
    <n v="155.5"/>
    <n v="151.19999999999999"/>
    <n v="161.69999999999999"/>
    <n v="146.19999999999999"/>
    <n v="152.6"/>
    <n v="160.19999999999999"/>
    <n v="153.80000000000001"/>
    <n v="153.80000000000001"/>
    <n v="156.80000000000001"/>
  </r>
  <r>
    <s v="Rural"/>
    <x v="8"/>
    <s v="April"/>
    <n v="142.69999999999999"/>
    <n v="195.5"/>
    <n v="163.4"/>
    <n v="155"/>
    <n v="175.2"/>
    <n v="160.6"/>
    <n v="135.1"/>
    <n v="161.1"/>
    <n v="112.2"/>
    <n v="164.4"/>
    <n v="161.9"/>
    <n v="166.8"/>
    <n v="155.6"/>
    <n v="186.8"/>
    <n v="160.69999999999999"/>
    <n v="155.1"/>
    <n v="159.9"/>
    <s v="-"/>
    <n v="156"/>
    <n v="155.5"/>
    <n v="165.3"/>
    <n v="151.69999999999999"/>
    <n v="158.6"/>
    <n v="164.1"/>
    <n v="154.6"/>
    <n v="158"/>
    <n v="157.6"/>
  </r>
  <r>
    <s v="Urban"/>
    <x v="8"/>
    <s v="April"/>
    <n v="147.6"/>
    <n v="202.5"/>
    <n v="166.4"/>
    <n v="156"/>
    <n v="161.4"/>
    <n v="168.8"/>
    <n v="161.6"/>
    <n v="162.80000000000001"/>
    <n v="114.8"/>
    <n v="162.80000000000001"/>
    <n v="151.5"/>
    <n v="171.4"/>
    <n v="162"/>
    <n v="194.4"/>
    <n v="155.9"/>
    <n v="139.30000000000001"/>
    <n v="153.4"/>
    <n v="161.4"/>
    <n v="154.9"/>
    <n v="147.6"/>
    <n v="157.5"/>
    <n v="142.1"/>
    <n v="149.1"/>
    <n v="157.6"/>
    <n v="156.6"/>
    <n v="150.5"/>
    <n v="158"/>
  </r>
  <r>
    <s v="Rural+Urban"/>
    <x v="8"/>
    <s v="April"/>
    <n v="144.30000000000001"/>
    <n v="198"/>
    <n v="164.6"/>
    <n v="155.4"/>
    <n v="170.1"/>
    <n v="164.4"/>
    <n v="144.1"/>
    <n v="161.69999999999999"/>
    <n v="113.1"/>
    <n v="163.9"/>
    <n v="157.6"/>
    <n v="168.9"/>
    <n v="158"/>
    <n v="188.8"/>
    <n v="158.80000000000001"/>
    <n v="148.5"/>
    <n v="157.30000000000001"/>
    <n v="161.4"/>
    <n v="155.6"/>
    <n v="151.80000000000001"/>
    <n v="162.30000000000001"/>
    <n v="146.6"/>
    <n v="153.19999999999999"/>
    <n v="160.30000000000001"/>
    <n v="155.4"/>
    <n v="154.4"/>
    <n v="157.80000000000001"/>
  </r>
  <r>
    <s v="Rural"/>
    <x v="8"/>
    <s v="May"/>
    <n v="145.1"/>
    <n v="198.5"/>
    <n v="168.6"/>
    <n v="155.80000000000001"/>
    <n v="184.4"/>
    <n v="162.30000000000001"/>
    <n v="138.4"/>
    <n v="165.1"/>
    <n v="114.3"/>
    <n v="169.7"/>
    <n v="164.6"/>
    <n v="169.8"/>
    <n v="158.69999999999999"/>
    <n v="189.6"/>
    <n v="165.3"/>
    <n v="160.6"/>
    <n v="164.5"/>
    <s v="NA"/>
    <n v="161.69999999999999"/>
    <n v="158.80000000000001"/>
    <n v="169.1"/>
    <n v="153.19999999999999"/>
    <n v="160"/>
    <n v="167.6"/>
    <n v="159.30000000000001"/>
    <n v="161.1"/>
    <n v="161.1"/>
  </r>
  <r>
    <s v="Urban"/>
    <x v="8"/>
    <s v="May"/>
    <n v="148.80000000000001"/>
    <n v="204.3"/>
    <n v="173"/>
    <n v="156.5"/>
    <n v="168.8"/>
    <n v="172.5"/>
    <n v="166.5"/>
    <n v="165.9"/>
    <n v="115.9"/>
    <n v="165.2"/>
    <n v="152"/>
    <n v="171.1"/>
    <n v="164.2"/>
    <n v="198.2"/>
    <n v="156.5"/>
    <n v="140.19999999999999"/>
    <n v="154.1"/>
    <n v="161.6"/>
    <n v="155.5"/>
    <n v="150.1"/>
    <n v="160.4"/>
    <n v="145"/>
    <n v="152.6"/>
    <n v="156.6"/>
    <n v="157.5"/>
    <n v="152.30000000000001"/>
    <n v="159.5"/>
  </r>
  <r>
    <s v="Rural+Urban"/>
    <x v="8"/>
    <s v="May"/>
    <n v="146.30000000000001"/>
    <n v="200.5"/>
    <n v="170.3"/>
    <n v="156.1"/>
    <n v="178.7"/>
    <n v="167.1"/>
    <n v="147.9"/>
    <n v="165.4"/>
    <n v="114.8"/>
    <n v="168.2"/>
    <n v="159.30000000000001"/>
    <n v="170.4"/>
    <n v="160.69999999999999"/>
    <n v="191.9"/>
    <n v="161.80000000000001"/>
    <n v="152.1"/>
    <n v="160.4"/>
    <n v="161.6"/>
    <n v="159.4"/>
    <n v="154.69999999999999"/>
    <n v="165.8"/>
    <n v="148.9"/>
    <n v="155.80000000000001"/>
    <n v="161.19999999999999"/>
    <n v="158.6"/>
    <n v="156.80000000000001"/>
    <n v="160.4"/>
  </r>
  <r>
    <s v="Rural"/>
    <x v="8"/>
    <s v="June"/>
    <n v="145.6"/>
    <n v="200.1"/>
    <n v="179.3"/>
    <n v="156.1"/>
    <n v="190.4"/>
    <n v="158.6"/>
    <n v="144.69999999999999"/>
    <n v="165.5"/>
    <n v="114.6"/>
    <n v="170"/>
    <n v="165.5"/>
    <n v="171.7"/>
    <n v="160.5"/>
    <n v="189.1"/>
    <n v="165.3"/>
    <n v="159.9"/>
    <n v="164.6"/>
    <s v="NA"/>
    <n v="162.1"/>
    <n v="159.19999999999999"/>
    <n v="169.7"/>
    <n v="154.19999999999999"/>
    <n v="160.4"/>
    <n v="166.8"/>
    <n v="159.4"/>
    <n v="161.5"/>
    <n v="162.1"/>
  </r>
  <r>
    <s v="Urban"/>
    <x v="8"/>
    <s v="June"/>
    <n v="149.19999999999999"/>
    <n v="205.5"/>
    <n v="182.8"/>
    <n v="156.5"/>
    <n v="172.2"/>
    <n v="171.5"/>
    <n v="176.2"/>
    <n v="166.9"/>
    <n v="116.1"/>
    <n v="165.5"/>
    <n v="152.30000000000001"/>
    <n v="173.3"/>
    <n v="166.2"/>
    <n v="195.6"/>
    <n v="157.30000000000001"/>
    <n v="140.5"/>
    <n v="154.80000000000001"/>
    <n v="160.5"/>
    <n v="156.1"/>
    <n v="149.80000000000001"/>
    <n v="160.80000000000001"/>
    <n v="147.5"/>
    <n v="150.69999999999999"/>
    <n v="158.1"/>
    <n v="158"/>
    <n v="153.4"/>
    <n v="160.4"/>
  </r>
  <r>
    <s v="Rural+Urban"/>
    <x v="8"/>
    <s v="June"/>
    <n v="146.69999999999999"/>
    <n v="202"/>
    <n v="180.7"/>
    <n v="156.19999999999999"/>
    <n v="183.7"/>
    <n v="164.6"/>
    <n v="155.4"/>
    <n v="166"/>
    <n v="115.1"/>
    <n v="168.5"/>
    <n v="160"/>
    <n v="172.4"/>
    <n v="162.6"/>
    <n v="190.8"/>
    <n v="162.19999999999999"/>
    <n v="151.80000000000001"/>
    <n v="160.69999999999999"/>
    <n v="160.5"/>
    <n v="159.80000000000001"/>
    <n v="154.80000000000001"/>
    <n v="166.3"/>
    <n v="150.69999999999999"/>
    <n v="154.9"/>
    <n v="161.69999999999999"/>
    <n v="158.80000000000001"/>
    <n v="157.6"/>
    <n v="161.30000000000001"/>
  </r>
  <r>
    <s v="Rural"/>
    <x v="8"/>
    <s v="July"/>
    <n v="145.1"/>
    <n v="204.5"/>
    <n v="180.4"/>
    <n v="157.1"/>
    <n v="188.7"/>
    <n v="157.69999999999999"/>
    <n v="152.80000000000001"/>
    <n v="163.6"/>
    <n v="113.9"/>
    <n v="169.7"/>
    <n v="166.2"/>
    <n v="171"/>
    <n v="161.69999999999999"/>
    <n v="189.7"/>
    <n v="166"/>
    <n v="161.1"/>
    <n v="165.3"/>
    <s v="NA"/>
    <n v="162.5"/>
    <n v="160.30000000000001"/>
    <n v="170.4"/>
    <n v="157.1"/>
    <n v="160.69999999999999"/>
    <n v="167.2"/>
    <n v="160.4"/>
    <n v="162.80000000000001"/>
    <n v="163.19999999999999"/>
  </r>
  <r>
    <s v="Urban"/>
    <x v="8"/>
    <s v="July"/>
    <n v="149.1"/>
    <n v="210.9"/>
    <n v="185"/>
    <n v="158.19999999999999"/>
    <n v="170.6"/>
    <n v="170.9"/>
    <n v="186.4"/>
    <n v="164.7"/>
    <n v="115.7"/>
    <n v="165.5"/>
    <n v="153.4"/>
    <n v="173.5"/>
    <n v="167.9"/>
    <n v="195.5"/>
    <n v="157.9"/>
    <n v="141.9"/>
    <n v="155.5"/>
    <n v="161.5"/>
    <n v="157.69999999999999"/>
    <n v="150.69999999999999"/>
    <n v="161.5"/>
    <n v="149.5"/>
    <n v="151.19999999999999"/>
    <n v="160.30000000000001"/>
    <n v="159.6"/>
    <n v="155"/>
    <n v="161.80000000000001"/>
  </r>
  <r>
    <s v="Rural+Urban"/>
    <x v="8"/>
    <s v="July"/>
    <n v="146.4"/>
    <n v="206.8"/>
    <n v="182.2"/>
    <n v="157.5"/>
    <n v="182.1"/>
    <n v="163.9"/>
    <n v="164.2"/>
    <n v="164"/>
    <n v="114.5"/>
    <n v="168.3"/>
    <n v="160.9"/>
    <n v="172.2"/>
    <n v="164"/>
    <n v="191.2"/>
    <n v="162.80000000000001"/>
    <n v="153.1"/>
    <n v="161.4"/>
    <n v="161.5"/>
    <n v="160.69999999999999"/>
    <n v="155.80000000000001"/>
    <n v="167"/>
    <n v="153.1"/>
    <n v="155.30000000000001"/>
    <n v="163.19999999999999"/>
    <n v="160.1"/>
    <n v="159"/>
    <n v="162.5"/>
  </r>
  <r>
    <s v="Rural"/>
    <x v="8"/>
    <s v="August"/>
    <n v="144.9"/>
    <n v="202.3"/>
    <n v="176.5"/>
    <n v="157.5"/>
    <n v="190.9"/>
    <n v="155.69999999999999"/>
    <n v="153.9"/>
    <n v="162.80000000000001"/>
    <n v="115.2"/>
    <n v="169.8"/>
    <n v="167.6"/>
    <n v="171.9"/>
    <n v="161.80000000000001"/>
    <n v="190.2"/>
    <n v="167"/>
    <n v="162.6"/>
    <n v="166.3"/>
    <s v="NA"/>
    <n v="163.1"/>
    <n v="160.9"/>
    <n v="171.1"/>
    <n v="157.69999999999999"/>
    <n v="161.1"/>
    <n v="167.5"/>
    <n v="160.30000000000001"/>
    <n v="163.30000000000001"/>
    <n v="163.6"/>
  </r>
  <r>
    <s v="Urban"/>
    <x v="8"/>
    <s v="August"/>
    <n v="149.30000000000001"/>
    <n v="207.4"/>
    <n v="174.1"/>
    <n v="159.19999999999999"/>
    <n v="175"/>
    <n v="161.30000000000001"/>
    <n v="183.3"/>
    <n v="164.5"/>
    <n v="120.4"/>
    <n v="166.2"/>
    <n v="154.80000000000001"/>
    <n v="175.1"/>
    <n v="167.3"/>
    <n v="196.5"/>
    <n v="159.80000000000001"/>
    <n v="143.6"/>
    <n v="157.30000000000001"/>
    <n v="162.1"/>
    <n v="160.69999999999999"/>
    <n v="153.19999999999999"/>
    <n v="162.80000000000001"/>
    <n v="150.4"/>
    <n v="153.69999999999999"/>
    <n v="160.4"/>
    <n v="159.6"/>
    <n v="156"/>
    <n v="162.30000000000001"/>
  </r>
  <r>
    <s v="Rural+Urban"/>
    <x v="8"/>
    <s v="August"/>
    <n v="146.6"/>
    <n v="204"/>
    <n v="172.8"/>
    <n v="158.4"/>
    <n v="188"/>
    <n v="156.80000000000001"/>
    <n v="162.19999999999999"/>
    <n v="164.1"/>
    <n v="119.7"/>
    <n v="168.8"/>
    <n v="162.69999999999999"/>
    <n v="173.9"/>
    <n v="164"/>
    <n v="192.1"/>
    <n v="164.5"/>
    <n v="155.30000000000001"/>
    <n v="163.19999999999999"/>
    <n v="162.1"/>
    <n v="162.6"/>
    <n v="157.5"/>
    <n v="168.4"/>
    <n v="154"/>
    <n v="157.6"/>
    <n v="163.80000000000001"/>
    <n v="160"/>
    <n v="160"/>
    <n v="163.19999999999999"/>
  </r>
  <r>
    <s v="Rural"/>
    <x v="8"/>
    <s v="September"/>
    <n v="145.4"/>
    <n v="202.1"/>
    <n v="172"/>
    <n v="158"/>
    <n v="195.5"/>
    <n v="152.69999999999999"/>
    <n v="151.4"/>
    <n v="163.9"/>
    <n v="119.3"/>
    <n v="170.1"/>
    <n v="168.3"/>
    <n v="172.8"/>
    <n v="162.1"/>
    <n v="190.5"/>
    <n v="167.7"/>
    <n v="163.6"/>
    <n v="167.1"/>
    <s v="NA"/>
    <n v="163.69999999999999"/>
    <n v="161.30000000000001"/>
    <n v="171.9"/>
    <n v="157.80000000000001"/>
    <n v="162.69999999999999"/>
    <n v="168.5"/>
    <n v="160.19999999999999"/>
    <n v="163.80000000000001"/>
    <n v="164"/>
  </r>
  <r>
    <s v="Urban"/>
    <x v="8"/>
    <s v="September"/>
    <n v="149.30000000000001"/>
    <n v="207.4"/>
    <n v="174.1"/>
    <n v="159.1"/>
    <n v="175"/>
    <n v="161.19999999999999"/>
    <n v="183.5"/>
    <n v="164.5"/>
    <n v="120.4"/>
    <n v="166.2"/>
    <n v="154.80000000000001"/>
    <n v="175.1"/>
    <n v="167.3"/>
    <n v="196.5"/>
    <n v="159.80000000000001"/>
    <n v="143.6"/>
    <n v="157.4"/>
    <n v="162.1"/>
    <n v="160.80000000000001"/>
    <n v="153.30000000000001"/>
    <n v="162.80000000000001"/>
    <n v="150.5"/>
    <n v="153.9"/>
    <n v="160.30000000000001"/>
    <n v="159.6"/>
    <n v="156"/>
    <n v="162.30000000000001"/>
  </r>
  <r>
    <s v="Rural+Urban"/>
    <x v="8"/>
    <s v="September"/>
    <n v="146.6"/>
    <n v="204"/>
    <n v="172.8"/>
    <n v="158.4"/>
    <n v="188"/>
    <n v="156.69999999999999"/>
    <n v="162.30000000000001"/>
    <n v="164.1"/>
    <n v="119.7"/>
    <n v="168.8"/>
    <n v="162.69999999999999"/>
    <n v="173.9"/>
    <n v="164"/>
    <n v="192.1"/>
    <n v="164.6"/>
    <n v="155.30000000000001"/>
    <n v="163.30000000000001"/>
    <n v="162.1"/>
    <n v="162.6"/>
    <n v="157.5"/>
    <n v="168.4"/>
    <n v="154"/>
    <n v="157.69999999999999"/>
    <n v="163.69999999999999"/>
    <n v="160"/>
    <n v="160"/>
    <n v="163.19999999999999"/>
  </r>
  <r>
    <s v="Rural"/>
    <x v="8"/>
    <s v="October"/>
    <n v="146.1"/>
    <n v="202.5"/>
    <n v="170.1"/>
    <n v="158.4"/>
    <n v="198.8"/>
    <n v="152.6"/>
    <n v="170.4"/>
    <n v="165.2"/>
    <n v="121.6"/>
    <n v="170.6"/>
    <n v="168.8"/>
    <n v="173.6"/>
    <n v="165.5"/>
    <n v="191.2"/>
    <n v="168.9"/>
    <n v="164.8"/>
    <n v="168.3"/>
    <s v="NA"/>
    <n v="165.5"/>
    <n v="162"/>
    <n v="172.5"/>
    <n v="159.5"/>
    <n v="163.19999999999999"/>
    <n v="169"/>
    <n v="161.1"/>
    <n v="164.7"/>
    <n v="166.3"/>
  </r>
  <r>
    <s v="Urban"/>
    <x v="8"/>
    <s v="October"/>
    <n v="150.1"/>
    <n v="208.4"/>
    <n v="173"/>
    <n v="159.19999999999999"/>
    <n v="176.6"/>
    <n v="159.30000000000001"/>
    <n v="214.4"/>
    <n v="165.3"/>
    <n v="122.5"/>
    <n v="166.8"/>
    <n v="155.4"/>
    <n v="175.9"/>
    <n v="171.5"/>
    <n v="197"/>
    <n v="160.80000000000001"/>
    <n v="144.4"/>
    <n v="158.30000000000001"/>
    <n v="163.6"/>
    <n v="162.19999999999999"/>
    <n v="154.30000000000001"/>
    <n v="163.5"/>
    <n v="152.19999999999999"/>
    <n v="155.1"/>
    <n v="160.30000000000001"/>
    <n v="160.30000000000001"/>
    <n v="157"/>
    <n v="164.6"/>
  </r>
  <r>
    <s v="Rural+Urban"/>
    <x v="8"/>
    <s v="October"/>
    <n v="147.4"/>
    <n v="204.6"/>
    <n v="171.2"/>
    <n v="158.69999999999999"/>
    <n v="190.6"/>
    <n v="155.69999999999999"/>
    <n v="185.3"/>
    <n v="165.2"/>
    <n v="121.9"/>
    <n v="169.3"/>
    <n v="163.19999999999999"/>
    <n v="174.7"/>
    <n v="167.7"/>
    <n v="192.7"/>
    <n v="165.7"/>
    <n v="156.30000000000001"/>
    <n v="164.3"/>
    <n v="163.6"/>
    <n v="164.2"/>
    <n v="158.4"/>
    <n v="169.1"/>
    <n v="155.69999999999999"/>
    <n v="158.6"/>
    <n v="163.9"/>
    <n v="160.80000000000001"/>
    <n v="161"/>
    <n v="165.5"/>
  </r>
  <r>
    <s v="Rural"/>
    <x v="8"/>
    <s v="November"/>
    <n v="146.9"/>
    <n v="199.8"/>
    <n v="171.5"/>
    <n v="159.1"/>
    <n v="198.4"/>
    <n v="153.19999999999999"/>
    <n v="183.9"/>
    <n v="165.4"/>
    <n v="122.1"/>
    <n v="170.8"/>
    <n v="169.1"/>
    <n v="174.3"/>
    <n v="167.5"/>
    <n v="191.4"/>
    <n v="170.4"/>
    <n v="166"/>
    <n v="169.8"/>
    <s v="NA"/>
    <n v="165.3"/>
    <n v="162.9"/>
    <n v="173.4"/>
    <n v="158.9"/>
    <n v="163.80000000000001"/>
    <n v="169.3"/>
    <n v="162.4"/>
    <n v="165.2"/>
    <n v="167.6"/>
  </r>
  <r>
    <s v="Urban"/>
    <x v="8"/>
    <s v="November"/>
    <n v="151"/>
    <n v="204.9"/>
    <n v="175.4"/>
    <n v="159.6"/>
    <n v="175.8"/>
    <n v="160.30000000000001"/>
    <n v="229.1"/>
    <n v="165.1"/>
    <n v="123.1"/>
    <n v="167.2"/>
    <n v="156.1"/>
    <n v="176.8"/>
    <n v="173.5"/>
    <n v="197"/>
    <n v="162.30000000000001"/>
    <n v="145.30000000000001"/>
    <n v="159.69999999999999"/>
    <n v="164.2"/>
    <n v="161.6"/>
    <n v="155.19999999999999"/>
    <n v="164.2"/>
    <n v="151.19999999999999"/>
    <n v="156.69999999999999"/>
    <n v="160.80000000000001"/>
    <n v="161.80000000000001"/>
    <n v="157.30000000000001"/>
    <n v="165.6"/>
  </r>
  <r>
    <s v="Rural+Urban"/>
    <x v="8"/>
    <s v="November"/>
    <n v="148.19999999999999"/>
    <n v="201.6"/>
    <n v="173"/>
    <n v="159.30000000000001"/>
    <n v="190.1"/>
    <n v="156.5"/>
    <n v="199.2"/>
    <n v="165.3"/>
    <n v="122.4"/>
    <n v="169.6"/>
    <n v="163.69999999999999"/>
    <n v="175.5"/>
    <n v="169.7"/>
    <n v="192.9"/>
    <n v="167.2"/>
    <n v="157.4"/>
    <n v="165.8"/>
    <n v="164.2"/>
    <n v="163.9"/>
    <n v="159.30000000000001"/>
    <n v="169.9"/>
    <n v="154.80000000000001"/>
    <n v="159.80000000000001"/>
    <n v="164.3"/>
    <n v="162.19999999999999"/>
    <n v="161.4"/>
    <n v="166.7"/>
  </r>
  <r>
    <s v="Rural"/>
    <x v="8"/>
    <s v="December"/>
    <n v="147.4"/>
    <n v="197"/>
    <n v="176.5"/>
    <n v="159.80000000000001"/>
    <n v="195.8"/>
    <n v="152"/>
    <n v="172.3"/>
    <n v="164.5"/>
    <n v="120.6"/>
    <n v="171.7"/>
    <n v="169.7"/>
    <n v="175.1"/>
    <n v="165.8"/>
    <n v="190.8"/>
    <n v="171.8"/>
    <n v="167.3"/>
    <n v="171.2"/>
    <s v="NA"/>
    <n v="165.6"/>
    <n v="163.9"/>
    <n v="174"/>
    <n v="160.1"/>
    <n v="164.5"/>
    <n v="169.7"/>
    <n v="162.80000000000001"/>
    <n v="166"/>
    <n v="167"/>
  </r>
  <r>
    <s v="Urban"/>
    <x v="8"/>
    <s v="December"/>
    <n v="151.6"/>
    <n v="202.2"/>
    <n v="180"/>
    <n v="160"/>
    <n v="173.5"/>
    <n v="158.30000000000001"/>
    <n v="219.5"/>
    <n v="164.2"/>
    <n v="121.9"/>
    <n v="168.2"/>
    <n v="156.5"/>
    <n v="178.2"/>
    <n v="172.2"/>
    <n v="196.8"/>
    <n v="163.30000000000001"/>
    <n v="146.69999999999999"/>
    <n v="160.69999999999999"/>
    <n v="163.4"/>
    <n v="161.69999999999999"/>
    <n v="156"/>
    <n v="165.1"/>
    <n v="151.80000000000001"/>
    <n v="157.6"/>
    <n v="160.6"/>
    <n v="162.4"/>
    <n v="157.80000000000001"/>
    <n v="165.2"/>
  </r>
  <r>
    <s v="Rural+Urban"/>
    <x v="8"/>
    <s v="December"/>
    <n v="148.69999999999999"/>
    <n v="198.8"/>
    <n v="177.9"/>
    <n v="159.9"/>
    <n v="187.6"/>
    <n v="154.9"/>
    <n v="188.3"/>
    <n v="164.4"/>
    <n v="121"/>
    <n v="170.5"/>
    <n v="164.2"/>
    <n v="176.5"/>
    <n v="168.2"/>
    <n v="192.4"/>
    <n v="168.5"/>
    <n v="158.69999999999999"/>
    <n v="167"/>
    <n v="163.4"/>
    <n v="164.1"/>
    <n v="160.19999999999999"/>
    <n v="170.6"/>
    <n v="155.69999999999999"/>
    <n v="160.6"/>
    <n v="164.4"/>
    <n v="162.6"/>
    <n v="162"/>
    <n v="166.2"/>
  </r>
  <r>
    <s v="Rural"/>
    <x v="9"/>
    <s v="January"/>
    <n v="148.30000000000001"/>
    <n v="196.9"/>
    <n v="178"/>
    <n v="160.5"/>
    <n v="192.6"/>
    <n v="151.19999999999999"/>
    <n v="159.19999999999999"/>
    <n v="164"/>
    <n v="119.3"/>
    <n v="173.3"/>
    <n v="169.8"/>
    <n v="175.8"/>
    <n v="164.1"/>
    <n v="190.7"/>
    <n v="173.2"/>
    <n v="169.3"/>
    <n v="172.7"/>
    <s v="NA"/>
    <n v="165.8"/>
    <n v="164.9"/>
    <n v="174.7"/>
    <n v="160.80000000000001"/>
    <n v="164.9"/>
    <n v="169.9"/>
    <n v="163.19999999999999"/>
    <n v="166.6"/>
    <n v="166.4"/>
  </r>
  <r>
    <s v="Urban"/>
    <x v="9"/>
    <s v="January"/>
    <n v="152.19999999999999"/>
    <n v="202.1"/>
    <n v="180.1"/>
    <n v="160.4"/>
    <n v="171"/>
    <n v="156.5"/>
    <n v="203.6"/>
    <n v="163.80000000000001"/>
    <n v="121.3"/>
    <n v="169.8"/>
    <n v="156.6"/>
    <n v="179"/>
    <n v="170.3"/>
    <n v="196.4"/>
    <n v="164.7"/>
    <n v="148.5"/>
    <n v="162.19999999999999"/>
    <n v="164.5"/>
    <n v="161.6"/>
    <n v="156.80000000000001"/>
    <n v="166.1"/>
    <n v="152.69999999999999"/>
    <n v="158.4"/>
    <n v="161"/>
    <n v="162.80000000000001"/>
    <n v="158.6"/>
    <n v="165"/>
  </r>
  <r>
    <s v="Rural+Urban"/>
    <x v="9"/>
    <s v="January"/>
    <n v="149.5"/>
    <n v="198.7"/>
    <n v="178.8"/>
    <n v="160.5"/>
    <n v="184.7"/>
    <n v="153.69999999999999"/>
    <n v="174.3"/>
    <n v="163.9"/>
    <n v="120"/>
    <n v="172.1"/>
    <n v="164.3"/>
    <n v="177.3"/>
    <n v="166.4"/>
    <n v="192.2"/>
    <n v="169.9"/>
    <n v="160.69999999999999"/>
    <n v="168.5"/>
    <n v="164.5"/>
    <n v="164.2"/>
    <n v="161.1"/>
    <n v="171.4"/>
    <n v="156.5"/>
    <n v="161.19999999999999"/>
    <n v="164.7"/>
    <n v="163"/>
    <n v="162.69999999999999"/>
    <n v="165.7"/>
  </r>
  <r>
    <s v="Rural"/>
    <x v="9"/>
    <s v="February"/>
    <n v="148.80000000000001"/>
    <n v="198.1"/>
    <n v="175.5"/>
    <n v="160.69999999999999"/>
    <n v="192.6"/>
    <n v="151.4"/>
    <n v="155.19999999999999"/>
    <n v="163.9"/>
    <n v="118.1"/>
    <n v="175.4"/>
    <n v="170.5"/>
    <n v="176.3"/>
    <n v="163.9"/>
    <n v="191.5"/>
    <n v="174.1"/>
    <n v="171"/>
    <n v="173.7"/>
    <s v="NA"/>
    <n v="167.4"/>
    <n v="165.7"/>
    <n v="175.3"/>
    <n v="161.19999999999999"/>
    <n v="165.5"/>
    <n v="170.3"/>
    <n v="164.5"/>
    <n v="167.3"/>
    <n v="166.7"/>
  </r>
  <r>
    <s v="Urban"/>
    <x v="9"/>
    <s v="February"/>
    <n v="152.5"/>
    <n v="205.2"/>
    <n v="176.4"/>
    <n v="160.6"/>
    <n v="171.5"/>
    <n v="156.4"/>
    <n v="198"/>
    <n v="163.19999999999999"/>
    <n v="120.6"/>
    <n v="172.2"/>
    <n v="156.69999999999999"/>
    <n v="180"/>
    <n v="170.2"/>
    <n v="196.5"/>
    <n v="165.7"/>
    <n v="150.4"/>
    <n v="163.4"/>
    <n v="165.5"/>
    <n v="163"/>
    <n v="157.4"/>
    <n v="167.2"/>
    <n v="153.1"/>
    <n v="159.5"/>
    <n v="162"/>
    <n v="164.2"/>
    <n v="159.4"/>
    <n v="165.5"/>
  </r>
  <r>
    <s v="Rural+Urban"/>
    <x v="9"/>
    <s v="February"/>
    <n v="150"/>
    <n v="200.6"/>
    <n v="175.8"/>
    <n v="160.69999999999999"/>
    <n v="184.9"/>
    <n v="153.69999999999999"/>
    <n v="169.7"/>
    <n v="163.69999999999999"/>
    <n v="118.9"/>
    <n v="174.3"/>
    <n v="164.7"/>
    <n v="178"/>
    <n v="166.2"/>
    <n v="192.8"/>
    <n v="170.8"/>
    <n v="162.4"/>
    <n v="169.6"/>
    <n v="165.5"/>
    <n v="165.7"/>
    <n v="161.80000000000001"/>
    <n v="172.2"/>
    <n v="156.9"/>
    <n v="162.1"/>
    <n v="165.4"/>
    <n v="164.4"/>
    <n v="163.5"/>
    <n v="166.1"/>
  </r>
  <r>
    <s v="Rural"/>
    <x v="9"/>
    <s v="March"/>
    <n v="150.19999999999999"/>
    <n v="208"/>
    <n v="167.9"/>
    <n v="162"/>
    <n v="203.1"/>
    <n v="155.9"/>
    <n v="155.80000000000001"/>
    <n v="164.2"/>
    <n v="118.1"/>
    <n v="178.7"/>
    <n v="171.2"/>
    <n v="177.4"/>
    <n v="166.6"/>
    <n v="192.3"/>
    <n v="175.4"/>
    <n v="173.2"/>
    <n v="175.1"/>
    <s v="NA"/>
    <n v="168.9"/>
    <n v="166.5"/>
    <n v="176"/>
    <n v="162"/>
    <n v="166.6"/>
    <n v="170.6"/>
    <n v="167.4"/>
    <n v="168.3"/>
    <n v="168.7"/>
  </r>
  <r>
    <s v="Urban"/>
    <x v="9"/>
    <s v="March"/>
    <n v="153.69999999999999"/>
    <n v="215.8"/>
    <n v="167.7"/>
    <n v="162.6"/>
    <n v="180"/>
    <n v="159.6"/>
    <n v="188.4"/>
    <n v="163.4"/>
    <n v="120.3"/>
    <n v="174.7"/>
    <n v="157.1"/>
    <n v="181.5"/>
    <n v="171.5"/>
    <n v="197.5"/>
    <n v="167.1"/>
    <n v="152.6"/>
    <n v="164.9"/>
    <n v="165.3"/>
    <n v="164.5"/>
    <n v="158.6"/>
    <n v="168.2"/>
    <n v="154.19999999999999"/>
    <n v="160.80000000000001"/>
    <n v="162.69999999999999"/>
    <n v="166.8"/>
    <n v="160.6"/>
    <n v="166.5"/>
  </r>
  <r>
    <s v="Rural+Urban"/>
    <x v="9"/>
    <s v="March"/>
    <n v="151.30000000000001"/>
    <n v="210.7"/>
    <n v="167.8"/>
    <n v="162.19999999999999"/>
    <n v="194.6"/>
    <n v="157.6"/>
    <n v="166.9"/>
    <n v="163.9"/>
    <n v="118.8"/>
    <n v="177.4"/>
    <n v="165.3"/>
    <n v="179.3"/>
    <n v="168.4"/>
    <n v="193.7"/>
    <n v="172.1"/>
    <n v="164.6"/>
    <n v="171.1"/>
    <n v="165.3"/>
    <n v="167.2"/>
    <n v="162.80000000000001"/>
    <n v="173"/>
    <n v="157.9"/>
    <n v="163.30000000000001"/>
    <n v="166"/>
    <n v="167.2"/>
    <n v="164.6"/>
    <n v="167.7"/>
  </r>
  <r>
    <s v="Rural"/>
    <x v="9"/>
    <s v="April"/>
    <n v="151.80000000000001"/>
    <n v="209.7"/>
    <n v="164.5"/>
    <n v="163.80000000000001"/>
    <n v="207.4"/>
    <n v="169.7"/>
    <n v="153.6"/>
    <n v="165.1"/>
    <n v="118.2"/>
    <n v="182.9"/>
    <n v="172.4"/>
    <n v="178.9"/>
    <n v="168.6"/>
    <n v="192.8"/>
    <n v="177.5"/>
    <n v="175.1"/>
    <n v="177.1"/>
    <s v="NA"/>
    <n v="173.3"/>
    <n v="167.7"/>
    <n v="177"/>
    <n v="166.2"/>
    <n v="167.2"/>
    <n v="170.9"/>
    <n v="169"/>
    <n v="170.2"/>
    <n v="170.8"/>
  </r>
  <r>
    <s v="Urban"/>
    <x v="9"/>
    <s v="April"/>
    <n v="155.4"/>
    <n v="215.8"/>
    <n v="164.6"/>
    <n v="164.2"/>
    <n v="186"/>
    <n v="175.9"/>
    <n v="190.7"/>
    <n v="164"/>
    <n v="120.5"/>
    <n v="178"/>
    <n v="157.5"/>
    <n v="183.3"/>
    <n v="174.5"/>
    <n v="197.1"/>
    <n v="168.4"/>
    <n v="154.5"/>
    <n v="166.3"/>
    <n v="167"/>
    <n v="170.5"/>
    <n v="159.80000000000001"/>
    <n v="169"/>
    <n v="159.30000000000001"/>
    <n v="162.19999999999999"/>
    <n v="164"/>
    <n v="168.4"/>
    <n v="163.1"/>
    <n v="169.2"/>
  </r>
  <r>
    <s v="Rural+Urban"/>
    <x v="9"/>
    <s v="April"/>
    <n v="152.9"/>
    <n v="211.8"/>
    <n v="164.5"/>
    <n v="163.9"/>
    <n v="199.5"/>
    <n v="172.6"/>
    <n v="166.2"/>
    <n v="164.7"/>
    <n v="119"/>
    <n v="181.3"/>
    <n v="166.2"/>
    <n v="180.9"/>
    <n v="170.8"/>
    <n v="193.9"/>
    <n v="173.9"/>
    <n v="166.5"/>
    <n v="172.8"/>
    <n v="167"/>
    <n v="172.2"/>
    <n v="164"/>
    <n v="174"/>
    <n v="162.6"/>
    <n v="164.4"/>
    <n v="166.9"/>
    <n v="168.8"/>
    <n v="166.8"/>
    <n v="170.1"/>
  </r>
  <r>
    <s v="Rural"/>
    <x v="9"/>
    <s v="May"/>
    <n v="152.9"/>
    <n v="214.7"/>
    <n v="161.4"/>
    <n v="164.6"/>
    <n v="209.9"/>
    <n v="168"/>
    <n v="160.4"/>
    <n v="165"/>
    <n v="118.9"/>
    <n v="186.6"/>
    <n v="173.2"/>
    <n v="180.4"/>
    <n v="170.8"/>
    <n v="192.9"/>
    <n v="179.3"/>
    <n v="177.2"/>
    <n v="179"/>
    <s v="NA"/>
    <n v="175.3"/>
    <n v="168.9"/>
    <n v="177.7"/>
    <n v="167.1"/>
    <n v="167.6"/>
    <n v="171.8"/>
    <n v="168.5"/>
    <n v="170.9"/>
    <n v="172.5"/>
  </r>
  <r>
    <s v="Urban"/>
    <x v="9"/>
    <s v="May"/>
    <n v="156.69999999999999"/>
    <n v="221.2"/>
    <n v="164.1"/>
    <n v="165.4"/>
    <n v="189.5"/>
    <n v="174.5"/>
    <n v="203.2"/>
    <n v="164.1"/>
    <n v="121.2"/>
    <n v="181.4"/>
    <n v="158.5"/>
    <n v="184.9"/>
    <n v="177.5"/>
    <n v="197.5"/>
    <n v="170"/>
    <n v="155.9"/>
    <n v="167.8"/>
    <n v="167.5"/>
    <n v="173.5"/>
    <n v="161.1"/>
    <n v="170.1"/>
    <n v="159.4"/>
    <n v="163.19999999999999"/>
    <n v="165.2"/>
    <n v="168.2"/>
    <n v="163.80000000000001"/>
    <n v="170.8"/>
  </r>
  <r>
    <s v="Rural+Urban"/>
    <x v="9"/>
    <s v="May"/>
    <n v="154.1"/>
    <n v="217"/>
    <n v="162.4"/>
    <n v="164.9"/>
    <n v="202.4"/>
    <n v="171"/>
    <n v="174.9"/>
    <n v="164.7"/>
    <n v="119.7"/>
    <n v="184.9"/>
    <n v="167.1"/>
    <n v="182.5"/>
    <n v="173.3"/>
    <n v="194.1"/>
    <n v="175.6"/>
    <n v="168.4"/>
    <n v="174.6"/>
    <n v="167.5"/>
    <n v="174.6"/>
    <n v="165.2"/>
    <n v="174.8"/>
    <n v="163"/>
    <n v="165.1"/>
    <n v="167.9"/>
    <n v="168.4"/>
    <n v="167.5"/>
    <n v="171.7"/>
  </r>
  <r>
    <s v="Rural"/>
    <x v="9"/>
    <s v="June"/>
    <n v="153.80000000000001"/>
    <n v="217.2"/>
    <n v="169.6"/>
    <n v="165.4"/>
    <n v="208.1"/>
    <n v="165.8"/>
    <n v="167.3"/>
    <n v="164.6"/>
    <n v="119.1"/>
    <n v="188.9"/>
    <n v="174.2"/>
    <n v="181.9"/>
    <n v="172.4"/>
    <n v="192.9"/>
    <n v="180.7"/>
    <n v="178.7"/>
    <n v="180.4"/>
    <s v="NA"/>
    <n v="176.7"/>
    <n v="170.3"/>
    <n v="178.2"/>
    <n v="165.5"/>
    <n v="168"/>
    <n v="172.6"/>
    <n v="169.5"/>
    <n v="171"/>
    <n v="173.6"/>
  </r>
  <r>
    <s v="Urban"/>
    <x v="9"/>
    <s v="June"/>
    <n v="157.5"/>
    <n v="223.4"/>
    <n v="172.8"/>
    <n v="166.4"/>
    <n v="188.6"/>
    <n v="174.1"/>
    <n v="211.5"/>
    <n v="163.6"/>
    <n v="121.4"/>
    <n v="183.5"/>
    <n v="159.1"/>
    <n v="186.3"/>
    <n v="179.3"/>
    <n v="198.3"/>
    <n v="171.6"/>
    <n v="157.4"/>
    <n v="169.4"/>
    <n v="166.8"/>
    <n v="174.9"/>
    <n v="162.1"/>
    <n v="170.9"/>
    <n v="157.19999999999999"/>
    <n v="164.1"/>
    <n v="166.5"/>
    <n v="169.2"/>
    <n v="163.80000000000001"/>
    <n v="171.4"/>
  </r>
  <r>
    <s v="Rural+Urban"/>
    <x v="9"/>
    <s v="June"/>
    <n v="155"/>
    <n v="219.4"/>
    <n v="170.8"/>
    <n v="165.8"/>
    <n v="200.9"/>
    <n v="169.7"/>
    <n v="182.3"/>
    <n v="164.3"/>
    <n v="119.9"/>
    <n v="187.1"/>
    <n v="167.9"/>
    <n v="183.9"/>
    <n v="174.9"/>
    <n v="194.3"/>
    <n v="177.1"/>
    <n v="169.9"/>
    <n v="176"/>
    <n v="166.8"/>
    <n v="176"/>
    <n v="166.4"/>
    <n v="175.4"/>
    <n v="161.1"/>
    <n v="165.8"/>
    <n v="169"/>
    <n v="169.4"/>
    <n v="167.5"/>
    <n v="172.6"/>
  </r>
  <r>
    <s v="Rural"/>
    <x v="9"/>
    <s v="July"/>
    <n v="155.19999999999999"/>
    <n v="210.8"/>
    <n v="174.3"/>
    <n v="166.3"/>
    <n v="202.2"/>
    <n v="169.6"/>
    <n v="168.6"/>
    <n v="164.4"/>
    <n v="119.2"/>
    <n v="191.8"/>
    <n v="174.5"/>
    <n v="183.1"/>
    <n v="172.5"/>
    <n v="193.2"/>
    <n v="182"/>
    <n v="180.3"/>
    <n v="181.7"/>
    <s v="NA"/>
    <n v="179.6"/>
    <n v="171.3"/>
    <n v="178.8"/>
    <n v="166.3"/>
    <n v="168.6"/>
    <n v="174.7"/>
    <n v="169.7"/>
    <n v="171.8"/>
    <n v="174.3"/>
  </r>
  <r>
    <s v="Urban"/>
    <x v="9"/>
    <s v="July"/>
    <n v="159.30000000000001"/>
    <n v="217.1"/>
    <n v="176.6"/>
    <n v="167.1"/>
    <n v="184.8"/>
    <n v="179.5"/>
    <n v="208.5"/>
    <n v="164"/>
    <n v="121.5"/>
    <n v="186.3"/>
    <n v="159.80000000000001"/>
    <n v="187.7"/>
    <n v="179.4"/>
    <n v="198.6"/>
    <n v="172.7"/>
    <n v="158.69999999999999"/>
    <n v="170.6"/>
    <n v="167.8"/>
    <n v="179.5"/>
    <n v="163.1"/>
    <n v="171.7"/>
    <n v="157.4"/>
    <n v="164.6"/>
    <n v="169.1"/>
    <n v="169.8"/>
    <n v="164.7"/>
    <n v="172.3"/>
  </r>
  <r>
    <s v="Rural+Urban"/>
    <x v="9"/>
    <s v="July"/>
    <n v="156.5"/>
    <n v="213"/>
    <n v="175.2"/>
    <n v="166.6"/>
    <n v="195.8"/>
    <n v="174.2"/>
    <n v="182.1"/>
    <n v="164.3"/>
    <n v="120"/>
    <n v="190"/>
    <n v="168.4"/>
    <n v="185.2"/>
    <n v="175"/>
    <n v="194.6"/>
    <n v="178.3"/>
    <n v="171.3"/>
    <n v="177.3"/>
    <n v="167.8"/>
    <n v="179.6"/>
    <n v="167.4"/>
    <n v="176.1"/>
    <n v="161.6"/>
    <n v="166.3"/>
    <n v="171.4"/>
    <n v="169.7"/>
    <n v="168.4"/>
    <n v="173.4"/>
  </r>
  <r>
    <s v="Rural"/>
    <x v="9"/>
    <s v="August"/>
    <n v="159.5"/>
    <n v="204.1"/>
    <n v="168.3"/>
    <n v="167.9"/>
    <n v="198.1"/>
    <n v="169.2"/>
    <n v="173.1"/>
    <n v="167.1"/>
    <n v="120.2"/>
    <n v="195.6"/>
    <n v="174.8"/>
    <n v="184"/>
    <n v="173.9"/>
    <n v="193.7"/>
    <n v="183.2"/>
    <n v="181.7"/>
    <n v="183"/>
    <s v="NA"/>
    <n v="179.1"/>
    <n v="172.3"/>
    <n v="179.4"/>
    <n v="166.6"/>
    <n v="169.3"/>
    <n v="175.7"/>
    <n v="171.1"/>
    <n v="172.6"/>
    <n v="175.3"/>
  </r>
  <r>
    <s v="Urban"/>
    <x v="9"/>
    <s v="August"/>
    <n v="162.1"/>
    <n v="210.9"/>
    <n v="170.6"/>
    <n v="168.4"/>
    <n v="182.5"/>
    <n v="177.1"/>
    <n v="213.1"/>
    <n v="167.3"/>
    <n v="122.2"/>
    <n v="189.7"/>
    <n v="160.5"/>
    <n v="188.9"/>
    <n v="180.4"/>
    <n v="198.7"/>
    <n v="173.7"/>
    <n v="160"/>
    <n v="171.6"/>
    <n v="169"/>
    <n v="178.4"/>
    <n v="164.2"/>
    <n v="172.6"/>
    <n v="157.69999999999999"/>
    <n v="165.1"/>
    <n v="169.9"/>
    <n v="171.4"/>
    <n v="165.4"/>
    <n v="173.1"/>
  </r>
  <r>
    <s v="Rural+Urban"/>
    <x v="9"/>
    <s v="August"/>
    <n v="160.30000000000001"/>
    <n v="206.5"/>
    <n v="169.2"/>
    <n v="168.1"/>
    <n v="192.4"/>
    <n v="172.9"/>
    <n v="186.7"/>
    <n v="167.2"/>
    <n v="120.9"/>
    <n v="193.6"/>
    <n v="168.8"/>
    <n v="186.3"/>
    <n v="176.3"/>
    <n v="195"/>
    <n v="179.5"/>
    <n v="172.7"/>
    <n v="178.5"/>
    <n v="169"/>
    <n v="178.8"/>
    <n v="168.5"/>
    <n v="176.8"/>
    <n v="161.9"/>
    <n v="166.9"/>
    <n v="172.3"/>
    <n v="171.2"/>
    <n v="169.1"/>
    <n v="174.3"/>
  </r>
  <r>
    <s v="Rural"/>
    <x v="9"/>
    <s v="September"/>
    <n v="162.9"/>
    <n v="206.7"/>
    <n v="169"/>
    <n v="169.5"/>
    <n v="194.1"/>
    <n v="164.1"/>
    <n v="176.9"/>
    <n v="169"/>
    <n v="120.8"/>
    <n v="199.1"/>
    <n v="175.4"/>
    <n v="184.8"/>
    <n v="175.5"/>
    <n v="194.5"/>
    <n v="184.7"/>
    <n v="183.3"/>
    <n v="184.5"/>
    <s v="NA"/>
    <n v="179.7"/>
    <n v="173.6"/>
    <n v="180.2"/>
    <n v="166.9"/>
    <n v="170"/>
    <n v="176.2"/>
    <n v="170.8"/>
    <n v="173.1"/>
    <n v="176.4"/>
  </r>
  <r>
    <s v="Urban"/>
    <x v="9"/>
    <s v="September"/>
    <n v="164.9"/>
    <n v="213.7"/>
    <n v="170.9"/>
    <n v="170.1"/>
    <n v="179.3"/>
    <n v="167.5"/>
    <n v="220.8"/>
    <n v="169.2"/>
    <n v="123.1"/>
    <n v="193.6"/>
    <n v="161.1"/>
    <n v="190.4"/>
    <n v="181.8"/>
    <n v="199.7"/>
    <n v="175"/>
    <n v="161.69999999999999"/>
    <n v="173"/>
    <n v="169.5"/>
    <n v="179.2"/>
    <n v="165"/>
    <n v="173.8"/>
    <n v="158.19999999999999"/>
    <n v="165.8"/>
    <n v="170.9"/>
    <n v="171.1"/>
    <n v="166.1"/>
    <n v="174.1"/>
  </r>
  <r>
    <s v="Rural+Urban"/>
    <x v="9"/>
    <s v="September"/>
    <n v="163.5"/>
    <n v="209.2"/>
    <n v="169.7"/>
    <n v="169.7"/>
    <n v="188.7"/>
    <n v="165.7"/>
    <n v="191.8"/>
    <n v="169.1"/>
    <n v="121.6"/>
    <n v="197.3"/>
    <n v="169.4"/>
    <n v="187.4"/>
    <n v="177.8"/>
    <n v="195.9"/>
    <n v="180.9"/>
    <n v="174.3"/>
    <n v="179.9"/>
    <n v="169.5"/>
    <n v="179.5"/>
    <n v="169.5"/>
    <n v="177.8"/>
    <n v="162.30000000000001"/>
    <n v="167.6"/>
    <n v="173.1"/>
    <n v="170.9"/>
    <n v="169.7"/>
    <n v="175.3"/>
  </r>
  <r>
    <s v="Rural"/>
    <x v="9"/>
    <s v="October"/>
    <n v="164.7"/>
    <n v="208.8"/>
    <n v="170.3"/>
    <n v="170.9"/>
    <n v="191.6"/>
    <n v="162.19999999999999"/>
    <n v="184.8"/>
    <n v="169.7"/>
    <n v="121.1"/>
    <n v="201.6"/>
    <n v="175.8"/>
    <n v="185.6"/>
    <n v="177.4"/>
    <n v="194.9"/>
    <n v="186.1"/>
    <n v="184.4"/>
    <n v="185.9"/>
    <s v="NA"/>
    <n v="180.8"/>
    <n v="174.4"/>
    <n v="181.2"/>
    <n v="167.4"/>
    <n v="170.6"/>
    <n v="176.5"/>
    <n v="172"/>
    <n v="173.9"/>
    <n v="177.9"/>
  </r>
  <r>
    <s v="Urban"/>
    <x v="9"/>
    <s v="October"/>
    <n v="166.4"/>
    <n v="214.9"/>
    <n v="171.9"/>
    <n v="171"/>
    <n v="177.7"/>
    <n v="165.7"/>
    <n v="228.6"/>
    <n v="169.9"/>
    <n v="123.4"/>
    <n v="196.4"/>
    <n v="161.6"/>
    <n v="191.5"/>
    <n v="183.3"/>
    <n v="200.1"/>
    <n v="175.5"/>
    <n v="162.6"/>
    <n v="173.6"/>
    <n v="171.2"/>
    <n v="180"/>
    <n v="166"/>
    <n v="174.7"/>
    <n v="158.80000000000001"/>
    <n v="166.3"/>
    <n v="171.2"/>
    <n v="172.3"/>
    <n v="166.8"/>
    <n v="175.3"/>
  </r>
  <r>
    <s v="Rural+Urban"/>
    <x v="9"/>
    <s v="October"/>
    <n v="165.2"/>
    <n v="210.9"/>
    <n v="170.9"/>
    <n v="170.9"/>
    <n v="186.5"/>
    <n v="163.80000000000001"/>
    <n v="199.7"/>
    <n v="169.8"/>
    <n v="121.9"/>
    <n v="199.9"/>
    <n v="169.9"/>
    <n v="188.3"/>
    <n v="179.6"/>
    <n v="196.3"/>
    <n v="181.9"/>
    <n v="175.3"/>
    <n v="181"/>
    <n v="171.2"/>
    <n v="180.5"/>
    <n v="170.4"/>
    <n v="178.7"/>
    <n v="162.9"/>
    <n v="168.2"/>
    <n v="173.4"/>
    <n v="172.1"/>
    <n v="170.5"/>
    <n v="176.7"/>
  </r>
  <r>
    <s v="Rural"/>
    <x v="9"/>
    <s v="November"/>
    <n v="166.9"/>
    <n v="207.2"/>
    <n v="180.2"/>
    <n v="172.3"/>
    <n v="194"/>
    <n v="159.1"/>
    <n v="171.6"/>
    <n v="170.2"/>
    <n v="121.5"/>
    <n v="204.8"/>
    <n v="176.4"/>
    <n v="186.9"/>
    <n v="176.6"/>
    <n v="195.5"/>
    <n v="187.2"/>
    <n v="185.2"/>
    <n v="186.9"/>
    <s v="NA"/>
    <n v="181.9"/>
    <n v="175.5"/>
    <n v="182.3"/>
    <n v="167.5"/>
    <n v="170.8"/>
    <n v="176.9"/>
    <n v="173.4"/>
    <n v="174.6"/>
    <n v="177.8"/>
  </r>
  <r>
    <s v="Urban"/>
    <x v="9"/>
    <s v="November"/>
    <n v="168.4"/>
    <n v="213.4"/>
    <n v="183.2"/>
    <n v="172.3"/>
    <n v="180"/>
    <n v="162.6"/>
    <n v="205.5"/>
    <n v="171"/>
    <n v="123.4"/>
    <n v="198.8"/>
    <n v="162.1"/>
    <n v="192.4"/>
    <n v="181.3"/>
    <n v="200.6"/>
    <n v="176.7"/>
    <n v="163.5"/>
    <n v="174.7"/>
    <n v="171.8"/>
    <n v="180.3"/>
    <n v="166.9"/>
    <n v="175.8"/>
    <n v="158.9"/>
    <n v="166.7"/>
    <n v="171.5"/>
    <n v="173.8"/>
    <n v="167.4"/>
    <n v="174.1"/>
  </r>
  <r>
    <s v="Rural+Urban"/>
    <x v="9"/>
    <s v="November"/>
    <n v="167.4"/>
    <n v="209.4"/>
    <n v="181.4"/>
    <n v="172.3"/>
    <n v="188.9"/>
    <n v="160.69999999999999"/>
    <n v="183.1"/>
    <n v="170.5"/>
    <n v="122.1"/>
    <n v="202.8"/>
    <n v="170.4"/>
    <n v="189.5"/>
    <n v="178.3"/>
    <n v="196.9"/>
    <n v="183.1"/>
    <n v="176.2"/>
    <n v="182.1"/>
    <n v="171.8"/>
    <n v="181.3"/>
    <n v="171.4"/>
    <n v="179.8"/>
    <n v="163"/>
    <n v="168.5"/>
    <n v="173.7"/>
    <n v="173.6"/>
    <n v="171.1"/>
    <n v="176.5"/>
  </r>
  <r>
    <s v="Rural"/>
    <x v="9"/>
    <s v="December"/>
    <n v="168.8"/>
    <n v="206.9"/>
    <n v="189.1"/>
    <n v="173.4"/>
    <n v="193.9"/>
    <n v="156.69999999999999"/>
    <n v="150.19999999999999"/>
    <n v="170.5"/>
    <n v="121.2"/>
    <n v="207.5"/>
    <n v="176.8"/>
    <n v="187.7"/>
    <n v="174.4"/>
    <n v="195.9"/>
    <n v="188.1"/>
    <n v="185.9"/>
    <n v="187.8"/>
    <s v="NA"/>
    <n v="182.8"/>
    <n v="176.4"/>
    <n v="183.5"/>
    <n v="167.8"/>
    <n v="171.2"/>
    <n v="177.3"/>
    <n v="175.7"/>
    <n v="175.5"/>
    <n v="177.1"/>
  </r>
  <r>
    <s v="Urban"/>
    <x v="9"/>
    <s v="December"/>
    <n v="170.2"/>
    <n v="212.9"/>
    <n v="191.9"/>
    <n v="173.9"/>
    <n v="179.1"/>
    <n v="159.5"/>
    <n v="178.7"/>
    <n v="171.3"/>
    <n v="123.1"/>
    <n v="200.5"/>
    <n v="162.80000000000001"/>
    <n v="193.3"/>
    <n v="178.6"/>
    <n v="201.1"/>
    <n v="177.7"/>
    <n v="164.5"/>
    <n v="175.7"/>
    <n v="170.7"/>
    <n v="180.6"/>
    <n v="167.3"/>
    <n v="177.2"/>
    <n v="159.4"/>
    <n v="167.1"/>
    <n v="171.8"/>
    <n v="176"/>
    <n v="168.2"/>
    <n v="174.1"/>
  </r>
  <r>
    <s v="Rural+Urban"/>
    <x v="9"/>
    <s v="December"/>
    <n v="169.2"/>
    <n v="209"/>
    <n v="190.2"/>
    <n v="173.6"/>
    <n v="188.5"/>
    <n v="158"/>
    <n v="159.9"/>
    <n v="170.8"/>
    <n v="121.8"/>
    <n v="205.2"/>
    <n v="171"/>
    <n v="190.3"/>
    <n v="175.9"/>
    <n v="197.3"/>
    <n v="184"/>
    <n v="177"/>
    <n v="183"/>
    <n v="170.7"/>
    <n v="182"/>
    <n v="172.1"/>
    <n v="181.1"/>
    <n v="163.4"/>
    <n v="168.9"/>
    <n v="174.1"/>
    <n v="175.8"/>
    <n v="172"/>
    <n v="175.7"/>
  </r>
  <r>
    <s v="Rural"/>
    <x v="10"/>
    <s v="January"/>
    <n v="174"/>
    <n v="208.3"/>
    <n v="192.9"/>
    <n v="174.3"/>
    <n v="192.6"/>
    <n v="156.30000000000001"/>
    <n v="142.9"/>
    <n v="170.7"/>
    <n v="120.3"/>
    <n v="210.5"/>
    <n v="176.9"/>
    <n v="188.5"/>
    <n v="175"/>
    <n v="196.9"/>
    <n v="189"/>
    <n v="186.3"/>
    <n v="188.6"/>
    <s v="NA"/>
    <n v="183.2"/>
    <n v="177.2"/>
    <n v="184.7"/>
    <n v="168.2"/>
    <n v="171.8"/>
    <n v="177.8"/>
    <n v="178.4"/>
    <n v="176.5"/>
    <n v="177.8"/>
  </r>
  <r>
    <s v="Urban"/>
    <x v="10"/>
    <s v="January"/>
    <n v="173.3"/>
    <n v="215.2"/>
    <n v="197"/>
    <n v="175.2"/>
    <n v="178"/>
    <n v="160.5"/>
    <n v="175.3"/>
    <n v="171.2"/>
    <n v="122.7"/>
    <n v="204.3"/>
    <n v="163.69999999999999"/>
    <n v="194.3"/>
    <n v="179.5"/>
    <n v="201.6"/>
    <n v="178.7"/>
    <n v="165.3"/>
    <n v="176.6"/>
    <n v="172.1"/>
    <n v="180.1"/>
    <n v="168"/>
    <n v="178.5"/>
    <n v="159.5"/>
    <n v="167.8"/>
    <n v="171.8"/>
    <n v="178.8"/>
    <n v="168.9"/>
    <n v="174.9"/>
  </r>
  <r>
    <s v="Rural+Urban"/>
    <x v="10"/>
    <s v="January"/>
    <n v="173.8"/>
    <n v="210.7"/>
    <n v="194.5"/>
    <n v="174.6"/>
    <n v="187.2"/>
    <n v="158.30000000000001"/>
    <n v="153.9"/>
    <n v="170.9"/>
    <n v="121.1"/>
    <n v="208.4"/>
    <n v="171.4"/>
    <n v="191.2"/>
    <n v="176.7"/>
    <n v="198.2"/>
    <n v="184.9"/>
    <n v="177.6"/>
    <n v="183.8"/>
    <n v="172.1"/>
    <n v="182"/>
    <n v="172.9"/>
    <n v="182.3"/>
    <n v="163.6"/>
    <n v="169.5"/>
    <n v="174.3"/>
    <n v="178.6"/>
    <n v="172.8"/>
    <n v="176.5"/>
  </r>
  <r>
    <s v="Rural"/>
    <x v="10"/>
    <s v="February"/>
    <n v="174.2"/>
    <n v="205.2"/>
    <n v="173.9"/>
    <n v="177"/>
    <n v="183.4"/>
    <n v="167.2"/>
    <n v="140.9"/>
    <n v="170.4"/>
    <n v="119.1"/>
    <n v="212.1"/>
    <n v="177.6"/>
    <n v="189.9"/>
    <n v="174.8"/>
    <n v="198.3"/>
    <n v="190"/>
    <n v="187"/>
    <n v="189.6"/>
    <s v="NA"/>
    <n v="181.6"/>
    <n v="178.6"/>
    <n v="186.6"/>
    <n v="169"/>
    <n v="172.8"/>
    <n v="178.5"/>
    <n v="180.7"/>
    <n v="177.9"/>
    <n v="178"/>
  </r>
  <r>
    <s v="Urban"/>
    <x v="10"/>
    <s v="February"/>
    <n v="174.7"/>
    <n v="212.2"/>
    <n v="177.2"/>
    <n v="177.9"/>
    <n v="172.2"/>
    <n v="172.1"/>
    <n v="175.8"/>
    <n v="172.2"/>
    <n v="121.9"/>
    <n v="204.8"/>
    <n v="164.9"/>
    <n v="196.6"/>
    <n v="180.7"/>
    <n v="202.7"/>
    <n v="180.3"/>
    <n v="167"/>
    <n v="178.2"/>
    <n v="173.5"/>
    <n v="182.8"/>
    <n v="169.2"/>
    <n v="180.8"/>
    <n v="159.80000000000001"/>
    <n v="168.4"/>
    <n v="172.5"/>
    <n v="181.4"/>
    <n v="170"/>
    <n v="176.3"/>
  </r>
  <r>
    <s v="Rural+Urban"/>
    <x v="10"/>
    <s v="February"/>
    <n v="174.4"/>
    <n v="207.7"/>
    <n v="175.2"/>
    <n v="177.3"/>
    <n v="179.3"/>
    <n v="169.5"/>
    <n v="152.69999999999999"/>
    <n v="171"/>
    <n v="120"/>
    <n v="209.7"/>
    <n v="172.3"/>
    <n v="193"/>
    <n v="177"/>
    <n v="199.5"/>
    <n v="186.2"/>
    <n v="178.7"/>
    <n v="185.1"/>
    <n v="173.5"/>
    <n v="182.1"/>
    <n v="174.2"/>
    <n v="184.4"/>
    <n v="164.2"/>
    <n v="170.3"/>
    <n v="175"/>
    <n v="181"/>
    <n v="174.1"/>
    <n v="177.2"/>
  </r>
  <r>
    <s v="Rural"/>
    <x v="10"/>
    <s v="March"/>
    <n v="174.3"/>
    <n v="205.2"/>
    <n v="173.9"/>
    <n v="177"/>
    <n v="183.3"/>
    <n v="167.2"/>
    <n v="140.9"/>
    <n v="170.5"/>
    <n v="119.1"/>
    <n v="212.1"/>
    <n v="177.6"/>
    <n v="189.9"/>
    <n v="174.8"/>
    <n v="198.4"/>
    <n v="190"/>
    <n v="187"/>
    <n v="189.6"/>
    <s v="NA"/>
    <n v="181.4"/>
    <n v="178.6"/>
    <n v="186.6"/>
    <n v="169"/>
    <n v="172.8"/>
    <n v="178.5"/>
    <n v="180.7"/>
    <n v="177.9"/>
    <n v="178"/>
  </r>
  <r>
    <s v="Urban"/>
    <x v="10"/>
    <s v="March"/>
    <n v="174.7"/>
    <n v="212.2"/>
    <n v="177.2"/>
    <n v="177.9"/>
    <n v="172.2"/>
    <n v="172.1"/>
    <n v="175.9"/>
    <n v="172.2"/>
    <n v="121.9"/>
    <n v="204.8"/>
    <n v="164.9"/>
    <n v="196.6"/>
    <n v="180.8"/>
    <n v="202.7"/>
    <n v="180.2"/>
    <n v="167"/>
    <n v="178.2"/>
    <n v="173.5"/>
    <n v="182.6"/>
    <n v="169.2"/>
    <n v="180.8"/>
    <n v="159.80000000000001"/>
    <n v="168.4"/>
    <n v="172.5"/>
    <n v="181.5"/>
    <n v="170"/>
    <n v="176.3"/>
  </r>
  <r>
    <s v="Rural+Urban"/>
    <x v="10"/>
    <s v="March"/>
    <n v="174.4"/>
    <n v="207.7"/>
    <n v="175.2"/>
    <n v="177.3"/>
    <n v="179.2"/>
    <n v="169.5"/>
    <n v="152.80000000000001"/>
    <n v="171.1"/>
    <n v="120"/>
    <n v="209.7"/>
    <n v="172.3"/>
    <n v="193"/>
    <n v="177"/>
    <n v="199.5"/>
    <n v="186.1"/>
    <n v="178.7"/>
    <n v="185.1"/>
    <n v="173.5"/>
    <n v="181.9"/>
    <n v="174.2"/>
    <n v="184.4"/>
    <n v="164.2"/>
    <n v="170.3"/>
    <n v="175"/>
    <n v="181"/>
    <n v="174.1"/>
    <n v="177.2"/>
  </r>
  <r>
    <s v="Rural"/>
    <x v="10"/>
    <s v="April"/>
    <n v="173.3"/>
    <n v="206.9"/>
    <n v="167.9"/>
    <n v="178.2"/>
    <n v="178.5"/>
    <n v="173.7"/>
    <n v="142.80000000000001"/>
    <n v="172.8"/>
    <n v="120.4"/>
    <n v="215.5"/>
    <n v="178.2"/>
    <n v="190.5"/>
    <n v="175.5"/>
    <n v="199.5"/>
    <n v="190.7"/>
    <n v="187.3"/>
    <n v="190.2"/>
    <s v="-"/>
    <n v="181.5"/>
    <n v="179.1"/>
    <n v="187.2"/>
    <n v="169.4"/>
    <n v="173.2"/>
    <n v="179.4"/>
    <n v="183.8"/>
    <n v="178.9"/>
    <n v="178.8"/>
  </r>
  <r>
    <s v="Urban"/>
    <x v="10"/>
    <s v="April"/>
    <n v="174.8"/>
    <n v="213.7"/>
    <n v="172.4"/>
    <n v="178.8"/>
    <n v="168.7"/>
    <n v="179.2"/>
    <n v="179.9"/>
    <n v="174.7"/>
    <n v="123.1"/>
    <n v="207.8"/>
    <n v="165.5"/>
    <n v="197"/>
    <n v="182.1"/>
    <n v="203.5"/>
    <n v="181"/>
    <n v="167.7"/>
    <n v="178.9"/>
    <n v="175.2"/>
    <n v="182.1"/>
    <n v="169.6"/>
    <n v="181.5"/>
    <n v="160.1"/>
    <n v="168.8"/>
    <n v="174.2"/>
    <n v="184.4"/>
    <n v="170.9"/>
    <n v="177.4"/>
  </r>
  <r>
    <s v="Rural+Urban"/>
    <x v="10"/>
    <s v="April"/>
    <n v="173.8"/>
    <n v="209.3"/>
    <n v="169.6"/>
    <n v="178.4"/>
    <n v="174.9"/>
    <n v="176.3"/>
    <n v="155.4"/>
    <n v="173.4"/>
    <n v="121.3"/>
    <n v="212.9"/>
    <n v="172.9"/>
    <n v="193.5"/>
    <n v="177.9"/>
    <n v="200.6"/>
    <n v="186.9"/>
    <n v="179.2"/>
    <n v="185.7"/>
    <n v="175.2"/>
    <n v="181.7"/>
    <n v="174.6"/>
    <n v="185"/>
    <n v="164.5"/>
    <n v="170.7"/>
    <n v="176.4"/>
    <n v="184"/>
    <n v="175"/>
    <n v="178.1"/>
  </r>
  <r>
    <s v="Rural"/>
    <x v="10"/>
    <s v="May"/>
    <n v="173.2"/>
    <n v="211.5"/>
    <n v="171"/>
    <n v="179.6"/>
    <n v="173.3"/>
    <n v="169"/>
    <n v="148.69999999999999"/>
    <n v="174.9"/>
    <n v="121.9"/>
    <n v="221"/>
    <n v="178.7"/>
    <n v="191.1"/>
    <n v="176.8"/>
    <n v="199.9"/>
    <n v="191.2"/>
    <n v="187.9"/>
    <n v="190.8"/>
    <s v="-"/>
    <n v="182.5"/>
    <n v="179.8"/>
    <n v="187.8"/>
    <n v="169.7"/>
    <n v="173.8"/>
    <n v="180.3"/>
    <n v="184.9"/>
    <n v="179.5"/>
    <n v="179.8"/>
  </r>
  <r>
    <s v="Urban"/>
    <x v="10"/>
    <s v="May"/>
    <n v="174.7"/>
    <n v="219.4"/>
    <n v="176.7"/>
    <n v="179.4"/>
    <n v="164.4"/>
    <n v="175.8"/>
    <n v="185"/>
    <n v="176.9"/>
    <n v="124.2"/>
    <n v="211.9"/>
    <n v="165.9"/>
    <n v="197.7"/>
    <n v="183.1"/>
    <n v="204.2"/>
    <n v="181.3"/>
    <n v="168.1"/>
    <n v="179.3"/>
    <n v="175.6"/>
    <n v="183.4"/>
    <n v="170.1"/>
    <n v="182.2"/>
    <n v="160.4"/>
    <n v="169.2"/>
    <n v="174.8"/>
    <n v="185.6"/>
    <n v="171.6"/>
    <n v="178.2"/>
  </r>
  <r>
    <s v="Rural+Urban"/>
    <x v="10"/>
    <s v="May"/>
    <n v="173.7"/>
    <n v="214.3"/>
    <n v="173.2"/>
    <n v="179.5"/>
    <n v="170"/>
    <n v="172.2"/>
    <n v="161"/>
    <n v="175.6"/>
    <n v="122.7"/>
    <n v="218"/>
    <n v="173.4"/>
    <n v="194.2"/>
    <n v="179.1"/>
    <n v="201"/>
    <n v="187.3"/>
    <n v="179.7"/>
    <n v="186.2"/>
    <n v="175.6"/>
    <n v="182.8"/>
    <n v="175.2"/>
    <n v="185.7"/>
    <n v="164.8"/>
    <n v="171.2"/>
    <n v="177.1"/>
    <n v="185.2"/>
    <n v="175.7"/>
    <n v="17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F241BA-5110-4B4E-8ADF-DC0697319CB5}"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8:H15" firstHeaderRow="1" firstDataRow="1" firstDataCol="1"/>
  <pivotFields count="3">
    <pivotField showAll="0"/>
    <pivotField axis="axisRow" showAll="0">
      <items count="7">
        <item x="2"/>
        <item x="0"/>
        <item x="4"/>
        <item x="3"/>
        <item x="5"/>
        <item x="1"/>
        <item t="default"/>
      </items>
    </pivotField>
    <pivotField dataField="1" showAll="0"/>
  </pivotFields>
  <rowFields count="1">
    <field x="1"/>
  </rowFields>
  <rowItems count="7">
    <i>
      <x/>
    </i>
    <i>
      <x v="1"/>
    </i>
    <i>
      <x v="2"/>
    </i>
    <i>
      <x v="3"/>
    </i>
    <i>
      <x v="4"/>
    </i>
    <i>
      <x v="5"/>
    </i>
    <i t="grand">
      <x/>
    </i>
  </rowItems>
  <colItems count="1">
    <i/>
  </colItems>
  <dataFields count="1">
    <dataField name="Sum of cpi value" fld="2" baseField="0" baseItem="0"/>
  </dataFields>
  <formats count="4">
    <format dxfId="3">
      <pivotArea field="1" type="button" dataOnly="0" labelOnly="1" outline="0" axis="axisRow" fieldPosition="0"/>
    </format>
    <format dxfId="2">
      <pivotArea dataOnly="0" labelOnly="1" outline="0" axis="axisValues" fieldPosition="0"/>
    </format>
    <format dxfId="1">
      <pivotArea grandRow="1" outline="0" collapsedLevelsAreSubtotals="1" fieldPosition="0"/>
    </format>
    <format dxfId="0">
      <pivotArea dataOnly="0" labelOnly="1" grandRow="1" outline="0" fieldPosition="0"/>
    </format>
  </formats>
  <chartFormats count="7">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2"/>
          </reference>
        </references>
      </pivotArea>
    </chartFormat>
    <chartFormat chart="1" format="4">
      <pivotArea type="data" outline="0" fieldPosition="0">
        <references count="2">
          <reference field="4294967294" count="1" selected="0">
            <x v="0"/>
          </reference>
          <reference field="1" count="1" selected="0">
            <x v="3"/>
          </reference>
        </references>
      </pivotArea>
    </chartFormat>
    <chartFormat chart="1" format="5">
      <pivotArea type="data" outline="0" fieldPosition="0">
        <references count="2">
          <reference field="4294967294" count="1" selected="0">
            <x v="0"/>
          </reference>
          <reference field="1" count="1" selected="0">
            <x v="4"/>
          </reference>
        </references>
      </pivotArea>
    </chartFormat>
    <chartFormat chart="1" format="6">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8BA344-4D3C-4D53-B692-75B88CC6F28A}"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5" firstHeaderRow="1" firstDataRow="1" firstDataCol="1"/>
  <pivotFields count="30">
    <pivotField showAll="0"/>
    <pivotField axis="axisRow" showAll="0">
      <items count="12">
        <item x="0"/>
        <item x="1"/>
        <item x="2"/>
        <item x="3"/>
        <item x="4"/>
        <item x="5"/>
        <item x="6"/>
        <item x="7"/>
        <item x="8"/>
        <item x="9"/>
        <item x="1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12">
    <i>
      <x/>
    </i>
    <i>
      <x v="1"/>
    </i>
    <i>
      <x v="2"/>
    </i>
    <i>
      <x v="3"/>
    </i>
    <i>
      <x v="4"/>
    </i>
    <i>
      <x v="5"/>
    </i>
    <i>
      <x v="6"/>
    </i>
    <i>
      <x v="7"/>
    </i>
    <i>
      <x v="8"/>
    </i>
    <i>
      <x v="9"/>
    </i>
    <i>
      <x v="10"/>
    </i>
    <i t="grand">
      <x/>
    </i>
  </rowItems>
  <colItems count="1">
    <i/>
  </colItems>
  <dataFields count="1">
    <dataField name="Average of General index" fld="29"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56E38-5FB2-4D4A-8AC2-0088FD0353D8}">
  <dimension ref="A1:AD373"/>
  <sheetViews>
    <sheetView tabSelected="1" topLeftCell="A55" workbookViewId="0">
      <selection activeCell="E32" sqref="E32"/>
    </sheetView>
  </sheetViews>
  <sheetFormatPr defaultRowHeight="15" x14ac:dyDescent="0.25"/>
  <cols>
    <col min="1" max="1" width="12.140625" bestFit="1" customWidth="1"/>
    <col min="2" max="2" width="7.140625" bestFit="1" customWidth="1"/>
    <col min="3" max="3" width="10.42578125" bestFit="1" customWidth="1"/>
    <col min="4" max="4" width="22.28515625" bestFit="1" customWidth="1"/>
    <col min="5" max="5" width="15.140625" bestFit="1" customWidth="1"/>
    <col min="6" max="6" width="6.28515625" bestFit="1" customWidth="1"/>
    <col min="7" max="7" width="19.28515625" bestFit="1" customWidth="1"/>
    <col min="8" max="8" width="14.42578125" bestFit="1" customWidth="1"/>
    <col min="9" max="9" width="8.28515625" bestFit="1" customWidth="1"/>
    <col min="10" max="10" width="12.85546875" bestFit="1" customWidth="1"/>
    <col min="11" max="11" width="21.5703125" bestFit="1" customWidth="1"/>
    <col min="12" max="12" width="25" bestFit="1" customWidth="1"/>
    <col min="13" max="13" width="9" bestFit="1" customWidth="1"/>
    <col min="14" max="14" width="25.7109375" bestFit="1" customWidth="1"/>
    <col min="15" max="15" width="35.7109375" bestFit="1" customWidth="1"/>
    <col min="16" max="16" width="21.140625" bestFit="1" customWidth="1"/>
    <col min="17" max="17" width="29.42578125" bestFit="1" customWidth="1"/>
    <col min="18" max="18" width="10.5703125" bestFit="1" customWidth="1"/>
    <col min="19" max="19" width="11.42578125" bestFit="1" customWidth="1"/>
    <col min="20" max="20" width="22.85546875" bestFit="1" customWidth="1"/>
    <col min="21" max="21" width="10.5703125" bestFit="1" customWidth="1"/>
    <col min="22" max="22" width="15.140625" bestFit="1" customWidth="1"/>
    <col min="23" max="23" width="30.7109375" bestFit="1" customWidth="1"/>
    <col min="24" max="24" width="9" bestFit="1" customWidth="1"/>
    <col min="25" max="25" width="30.7109375" bestFit="1" customWidth="1"/>
    <col min="26" max="26" width="28" bestFit="1" customWidth="1"/>
    <col min="27" max="27" width="12.140625" bestFit="1" customWidth="1"/>
    <col min="28" max="28" width="25.85546875" bestFit="1" customWidth="1"/>
    <col min="29" max="29" width="16.28515625" bestFit="1" customWidth="1"/>
    <col min="30" max="30" width="15.42578125" bestFit="1" customWidth="1"/>
  </cols>
  <sheetData>
    <row r="1" spans="1: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row>
    <row r="2" spans="1:30" x14ac:dyDescent="0.25">
      <c r="A2" t="s">
        <v>30</v>
      </c>
      <c r="B2">
        <v>2013</v>
      </c>
      <c r="C2" t="s">
        <v>31</v>
      </c>
      <c r="D2">
        <v>107.5</v>
      </c>
      <c r="E2">
        <v>106.3</v>
      </c>
      <c r="F2">
        <v>108.1</v>
      </c>
      <c r="G2">
        <v>104.9</v>
      </c>
      <c r="H2">
        <v>106.1</v>
      </c>
      <c r="I2">
        <v>103.9</v>
      </c>
      <c r="J2">
        <v>101.9</v>
      </c>
      <c r="K2">
        <v>106.1</v>
      </c>
      <c r="L2">
        <v>106.8</v>
      </c>
      <c r="M2">
        <v>103.1</v>
      </c>
      <c r="N2">
        <v>104.8</v>
      </c>
      <c r="O2">
        <v>106.7</v>
      </c>
      <c r="P2">
        <v>105.5</v>
      </c>
      <c r="Q2">
        <v>105.1</v>
      </c>
      <c r="R2">
        <v>106.5</v>
      </c>
      <c r="S2">
        <v>105.8</v>
      </c>
      <c r="T2">
        <v>106.4</v>
      </c>
      <c r="U2" t="s">
        <v>32</v>
      </c>
      <c r="V2">
        <v>105.5</v>
      </c>
      <c r="W2">
        <v>104.8</v>
      </c>
      <c r="X2">
        <v>104</v>
      </c>
      <c r="Y2">
        <v>103.3</v>
      </c>
      <c r="Z2">
        <v>103.4</v>
      </c>
      <c r="AA2">
        <v>103.8</v>
      </c>
      <c r="AB2">
        <v>104.7</v>
      </c>
      <c r="AC2">
        <v>104</v>
      </c>
      <c r="AD2">
        <v>105.1</v>
      </c>
    </row>
    <row r="3" spans="1:30" x14ac:dyDescent="0.25">
      <c r="A3" t="s">
        <v>33</v>
      </c>
      <c r="B3">
        <v>2013</v>
      </c>
      <c r="C3" t="s">
        <v>31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D3">
        <v>104</v>
      </c>
    </row>
    <row r="4" spans="1:30" x14ac:dyDescent="0.25">
      <c r="A4" t="s">
        <v>34</v>
      </c>
      <c r="B4">
        <v>2013</v>
      </c>
      <c r="C4" t="s">
        <v>31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D4">
        <v>104.6</v>
      </c>
    </row>
    <row r="5" spans="1:30" x14ac:dyDescent="0.25">
      <c r="A5" t="s">
        <v>30</v>
      </c>
      <c r="B5">
        <v>2013</v>
      </c>
      <c r="C5" t="s">
        <v>35</v>
      </c>
      <c r="D5">
        <v>109.2</v>
      </c>
      <c r="E5">
        <v>108.7</v>
      </c>
      <c r="F5">
        <v>110.2</v>
      </c>
      <c r="G5">
        <v>105.4</v>
      </c>
      <c r="H5">
        <v>106.7</v>
      </c>
      <c r="I5">
        <v>104</v>
      </c>
      <c r="J5">
        <v>102.4</v>
      </c>
      <c r="K5">
        <v>105.9</v>
      </c>
      <c r="L5">
        <v>105.7</v>
      </c>
      <c r="M5">
        <v>103.1</v>
      </c>
      <c r="N5">
        <v>105.1</v>
      </c>
      <c r="O5">
        <v>107.7</v>
      </c>
      <c r="P5">
        <v>106.3</v>
      </c>
      <c r="Q5">
        <v>105.6</v>
      </c>
      <c r="R5">
        <v>107.1</v>
      </c>
      <c r="S5">
        <v>106.3</v>
      </c>
      <c r="T5">
        <v>107</v>
      </c>
      <c r="U5" t="s">
        <v>32</v>
      </c>
      <c r="V5">
        <v>106.2</v>
      </c>
      <c r="W5">
        <v>105.2</v>
      </c>
      <c r="X5">
        <v>104.4</v>
      </c>
      <c r="Y5">
        <v>103.9</v>
      </c>
      <c r="Z5">
        <v>104</v>
      </c>
      <c r="AA5">
        <v>104.1</v>
      </c>
      <c r="AB5">
        <v>104.6</v>
      </c>
      <c r="AC5">
        <v>104.4</v>
      </c>
      <c r="AD5">
        <v>105.8</v>
      </c>
    </row>
    <row r="6" spans="1:30" x14ac:dyDescent="0.25">
      <c r="A6" t="s">
        <v>33</v>
      </c>
      <c r="B6">
        <v>2013</v>
      </c>
      <c r="C6" t="s">
        <v>35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D6">
        <v>104.7</v>
      </c>
    </row>
    <row r="7" spans="1:30" x14ac:dyDescent="0.25">
      <c r="A7" t="s">
        <v>34</v>
      </c>
      <c r="B7">
        <v>2013</v>
      </c>
      <c r="C7" t="s">
        <v>35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D7">
        <v>105.3</v>
      </c>
    </row>
    <row r="8" spans="1:30" x14ac:dyDescent="0.25">
      <c r="A8" t="s">
        <v>30</v>
      </c>
      <c r="B8">
        <v>2013</v>
      </c>
      <c r="C8" t="s">
        <v>36</v>
      </c>
      <c r="D8">
        <v>110.2</v>
      </c>
      <c r="E8">
        <v>108.8</v>
      </c>
      <c r="F8">
        <v>109.9</v>
      </c>
      <c r="G8">
        <v>105.6</v>
      </c>
      <c r="H8">
        <v>106.2</v>
      </c>
      <c r="I8">
        <v>105.7</v>
      </c>
      <c r="J8">
        <v>101.4</v>
      </c>
      <c r="K8">
        <v>105.7</v>
      </c>
      <c r="L8">
        <v>105</v>
      </c>
      <c r="M8">
        <v>103.3</v>
      </c>
      <c r="N8">
        <v>105.6</v>
      </c>
      <c r="O8">
        <v>108.2</v>
      </c>
      <c r="P8">
        <v>106.6</v>
      </c>
      <c r="Q8">
        <v>106.5</v>
      </c>
      <c r="R8">
        <v>107.6</v>
      </c>
      <c r="S8">
        <v>106.8</v>
      </c>
      <c r="T8">
        <v>107.5</v>
      </c>
      <c r="U8" t="s">
        <v>32</v>
      </c>
      <c r="V8">
        <v>106.1</v>
      </c>
      <c r="W8">
        <v>105.6</v>
      </c>
      <c r="X8">
        <v>104.7</v>
      </c>
      <c r="Y8">
        <v>104.6</v>
      </c>
      <c r="Z8">
        <v>104</v>
      </c>
      <c r="AA8">
        <v>104.3</v>
      </c>
      <c r="AB8">
        <v>104.3</v>
      </c>
      <c r="AC8">
        <v>104.6</v>
      </c>
      <c r="AD8">
        <v>106</v>
      </c>
    </row>
    <row r="9" spans="1:30" x14ac:dyDescent="0.25">
      <c r="A9" t="s">
        <v>33</v>
      </c>
      <c r="B9">
        <v>2013</v>
      </c>
      <c r="C9" t="s">
        <v>36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D9">
        <v>105</v>
      </c>
    </row>
    <row r="10" spans="1:30" x14ac:dyDescent="0.25">
      <c r="A10" t="s">
        <v>34</v>
      </c>
      <c r="B10">
        <v>2013</v>
      </c>
      <c r="C10" t="s">
        <v>36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D10">
        <v>105.5</v>
      </c>
    </row>
    <row r="11" spans="1:30" x14ac:dyDescent="0.25">
      <c r="A11" t="s">
        <v>30</v>
      </c>
      <c r="B11">
        <v>2013</v>
      </c>
      <c r="C11" t="s">
        <v>37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t="s">
        <v>32</v>
      </c>
      <c r="V11">
        <v>106.5</v>
      </c>
      <c r="W11">
        <v>106.1</v>
      </c>
      <c r="X11">
        <v>105.1</v>
      </c>
      <c r="Y11">
        <v>104.4</v>
      </c>
      <c r="Z11">
        <v>104.5</v>
      </c>
      <c r="AA11">
        <v>104.8</v>
      </c>
      <c r="AB11">
        <v>102.7</v>
      </c>
      <c r="AC11">
        <v>104.6</v>
      </c>
      <c r="AD11">
        <v>106.4</v>
      </c>
    </row>
    <row r="12" spans="1:30" x14ac:dyDescent="0.25">
      <c r="A12" t="s">
        <v>33</v>
      </c>
      <c r="B12">
        <v>2013</v>
      </c>
      <c r="C12" t="s">
        <v>37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D12">
        <v>105.7</v>
      </c>
    </row>
    <row r="13" spans="1:30" x14ac:dyDescent="0.25">
      <c r="A13" t="s">
        <v>34</v>
      </c>
      <c r="B13">
        <v>2013</v>
      </c>
      <c r="C13" t="s">
        <v>37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D13">
        <v>106.1</v>
      </c>
    </row>
    <row r="14" spans="1:30" x14ac:dyDescent="0.25">
      <c r="A14" t="s">
        <v>30</v>
      </c>
      <c r="B14">
        <v>2013</v>
      </c>
      <c r="C14" t="s">
        <v>38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t="s">
        <v>32</v>
      </c>
      <c r="V14">
        <v>107.5</v>
      </c>
      <c r="W14">
        <v>106.8</v>
      </c>
      <c r="X14">
        <v>105.7</v>
      </c>
      <c r="Y14">
        <v>104.1</v>
      </c>
      <c r="Z14">
        <v>105</v>
      </c>
      <c r="AA14">
        <v>105.5</v>
      </c>
      <c r="AB14">
        <v>102.1</v>
      </c>
      <c r="AC14">
        <v>104.8</v>
      </c>
      <c r="AD14">
        <v>107.2</v>
      </c>
    </row>
    <row r="15" spans="1:30" x14ac:dyDescent="0.25">
      <c r="A15" t="s">
        <v>33</v>
      </c>
      <c r="B15">
        <v>2013</v>
      </c>
      <c r="C15" t="s">
        <v>38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D15">
        <v>106.6</v>
      </c>
    </row>
    <row r="16" spans="1:30" x14ac:dyDescent="0.25">
      <c r="A16" t="s">
        <v>34</v>
      </c>
      <c r="B16">
        <v>2013</v>
      </c>
      <c r="C16" t="s">
        <v>38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D16">
        <v>106.9</v>
      </c>
    </row>
    <row r="17" spans="1:30" x14ac:dyDescent="0.25">
      <c r="A17" t="s">
        <v>30</v>
      </c>
      <c r="B17">
        <v>2013</v>
      </c>
      <c r="C17" t="s">
        <v>39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t="s">
        <v>32</v>
      </c>
      <c r="V17">
        <v>108.5</v>
      </c>
      <c r="W17">
        <v>107.5</v>
      </c>
      <c r="X17">
        <v>106.3</v>
      </c>
      <c r="Y17">
        <v>105</v>
      </c>
      <c r="Z17">
        <v>105.6</v>
      </c>
      <c r="AA17">
        <v>106.5</v>
      </c>
      <c r="AB17">
        <v>102.5</v>
      </c>
      <c r="AC17">
        <v>105.5</v>
      </c>
      <c r="AD17">
        <v>108.9</v>
      </c>
    </row>
    <row r="18" spans="1:30" x14ac:dyDescent="0.25">
      <c r="A18" t="s">
        <v>33</v>
      </c>
      <c r="B18">
        <v>2013</v>
      </c>
      <c r="C18" t="s">
        <v>39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D18">
        <v>109.7</v>
      </c>
    </row>
    <row r="19" spans="1:30" x14ac:dyDescent="0.25">
      <c r="A19" t="s">
        <v>34</v>
      </c>
      <c r="B19">
        <v>2013</v>
      </c>
      <c r="C19" t="s">
        <v>39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D19">
        <v>109.3</v>
      </c>
    </row>
    <row r="20" spans="1:30" x14ac:dyDescent="0.25">
      <c r="A20" t="s">
        <v>30</v>
      </c>
      <c r="B20">
        <v>2013</v>
      </c>
      <c r="C20" t="s">
        <v>40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t="s">
        <v>32</v>
      </c>
      <c r="V20">
        <v>109.5</v>
      </c>
      <c r="W20">
        <v>108.3</v>
      </c>
      <c r="X20">
        <v>106.9</v>
      </c>
      <c r="Y20">
        <v>106.8</v>
      </c>
      <c r="Z20">
        <v>106.4</v>
      </c>
      <c r="AA20">
        <v>107.8</v>
      </c>
      <c r="AB20">
        <v>102.5</v>
      </c>
      <c r="AC20">
        <v>106.5</v>
      </c>
      <c r="AD20">
        <v>110.7</v>
      </c>
    </row>
    <row r="21" spans="1:30" x14ac:dyDescent="0.25">
      <c r="A21" t="s">
        <v>33</v>
      </c>
      <c r="B21">
        <v>2013</v>
      </c>
      <c r="C21" t="s">
        <v>40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D21">
        <v>111.4</v>
      </c>
    </row>
    <row r="22" spans="1:30" x14ac:dyDescent="0.25">
      <c r="A22" t="s">
        <v>34</v>
      </c>
      <c r="B22">
        <v>2013</v>
      </c>
      <c r="C22" t="s">
        <v>40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D22">
        <v>111</v>
      </c>
    </row>
    <row r="23" spans="1:30" x14ac:dyDescent="0.25">
      <c r="A23" t="s">
        <v>30</v>
      </c>
      <c r="B23">
        <v>2013</v>
      </c>
      <c r="C23" t="s">
        <v>41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t="s">
        <v>32</v>
      </c>
      <c r="V23">
        <v>109.9</v>
      </c>
      <c r="W23">
        <v>108.7</v>
      </c>
      <c r="X23">
        <v>107.5</v>
      </c>
      <c r="Y23">
        <v>107.8</v>
      </c>
      <c r="Z23">
        <v>106.8</v>
      </c>
      <c r="AA23">
        <v>108.7</v>
      </c>
      <c r="AB23">
        <v>105</v>
      </c>
      <c r="AC23">
        <v>107.5</v>
      </c>
      <c r="AD23">
        <v>112.1</v>
      </c>
    </row>
    <row r="24" spans="1:30" x14ac:dyDescent="0.25">
      <c r="A24" t="s">
        <v>33</v>
      </c>
      <c r="B24">
        <v>2013</v>
      </c>
      <c r="C24" t="s">
        <v>41</v>
      </c>
      <c r="D24">
        <v>118.3</v>
      </c>
      <c r="E24">
        <v>120.4</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D24">
        <v>112.7</v>
      </c>
    </row>
    <row r="25" spans="1:30" x14ac:dyDescent="0.25">
      <c r="A25" t="s">
        <v>34</v>
      </c>
      <c r="B25">
        <v>2013</v>
      </c>
      <c r="C25" t="s">
        <v>41</v>
      </c>
      <c r="D25">
        <v>115.6</v>
      </c>
      <c r="E25">
        <v>117.2</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D25">
        <v>112.4</v>
      </c>
    </row>
    <row r="26" spans="1:30" x14ac:dyDescent="0.25">
      <c r="A26" t="s">
        <v>30</v>
      </c>
      <c r="B26">
        <v>2013</v>
      </c>
      <c r="C26" t="s">
        <v>42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t="s">
        <v>32</v>
      </c>
      <c r="V26">
        <v>111.1</v>
      </c>
      <c r="W26">
        <v>109.6</v>
      </c>
      <c r="X26">
        <v>108.3</v>
      </c>
      <c r="Y26">
        <v>109.3</v>
      </c>
      <c r="Z26">
        <v>107.7</v>
      </c>
      <c r="AA26">
        <v>109.8</v>
      </c>
      <c r="AB26">
        <v>106.7</v>
      </c>
      <c r="AC26">
        <v>108.7</v>
      </c>
      <c r="AD26">
        <v>114.2</v>
      </c>
    </row>
    <row r="27" spans="1:30" x14ac:dyDescent="0.25">
      <c r="A27" t="s">
        <v>33</v>
      </c>
      <c r="B27">
        <v>2013</v>
      </c>
      <c r="C27" t="s">
        <v>42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D27">
        <v>113.2</v>
      </c>
    </row>
    <row r="28" spans="1:30" x14ac:dyDescent="0.25">
      <c r="A28" t="s">
        <v>34</v>
      </c>
      <c r="B28">
        <v>2013</v>
      </c>
      <c r="C28" t="s">
        <v>42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D28">
        <v>113.7</v>
      </c>
    </row>
    <row r="29" spans="1:30" x14ac:dyDescent="0.25">
      <c r="A29" t="s">
        <v>30</v>
      </c>
      <c r="B29">
        <v>2013</v>
      </c>
      <c r="C29" t="s">
        <v>43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t="s">
        <v>32</v>
      </c>
      <c r="V29">
        <v>111.6</v>
      </c>
      <c r="W29">
        <v>110.4</v>
      </c>
      <c r="X29">
        <v>108.9</v>
      </c>
      <c r="Y29">
        <v>109.3</v>
      </c>
      <c r="Z29">
        <v>108.3</v>
      </c>
      <c r="AA29">
        <v>110.2</v>
      </c>
      <c r="AB29">
        <v>107.5</v>
      </c>
      <c r="AC29">
        <v>109.1</v>
      </c>
      <c r="AD29">
        <v>115.5</v>
      </c>
    </row>
    <row r="30" spans="1:30" x14ac:dyDescent="0.25">
      <c r="A30" t="s">
        <v>33</v>
      </c>
      <c r="B30">
        <v>2013</v>
      </c>
      <c r="C30" t="s">
        <v>43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D30">
        <v>114</v>
      </c>
    </row>
    <row r="31" spans="1:30" x14ac:dyDescent="0.25">
      <c r="A31" t="s">
        <v>34</v>
      </c>
      <c r="B31">
        <v>2013</v>
      </c>
      <c r="C31" t="s">
        <v>43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D31">
        <v>114.8</v>
      </c>
    </row>
    <row r="32" spans="1:30" x14ac:dyDescent="0.25">
      <c r="A32" t="s">
        <v>30</v>
      </c>
      <c r="B32">
        <v>2013</v>
      </c>
      <c r="C32" t="s">
        <v>44</v>
      </c>
      <c r="D32">
        <v>117.3</v>
      </c>
      <c r="E32">
        <v>114.9</v>
      </c>
      <c r="F32">
        <v>116.2</v>
      </c>
      <c r="G32">
        <v>112.8</v>
      </c>
      <c r="H32">
        <v>108.9</v>
      </c>
      <c r="I32">
        <v>116.6</v>
      </c>
      <c r="J32">
        <v>178.1</v>
      </c>
      <c r="K32">
        <v>109.1</v>
      </c>
      <c r="L32">
        <v>103.6</v>
      </c>
      <c r="M32">
        <v>109</v>
      </c>
      <c r="N32">
        <v>111.8</v>
      </c>
      <c r="O32">
        <v>116</v>
      </c>
      <c r="P32">
        <v>122.5</v>
      </c>
      <c r="Q32">
        <v>112.8</v>
      </c>
      <c r="R32">
        <v>114.6</v>
      </c>
      <c r="S32">
        <v>113.1</v>
      </c>
      <c r="T32">
        <v>114.4</v>
      </c>
      <c r="U32" t="s">
        <v>32</v>
      </c>
      <c r="V32">
        <v>112.6</v>
      </c>
      <c r="W32">
        <v>111.3</v>
      </c>
      <c r="X32">
        <v>109.7</v>
      </c>
      <c r="Y32">
        <v>109.6</v>
      </c>
      <c r="Z32">
        <v>108.7</v>
      </c>
      <c r="AA32">
        <v>111</v>
      </c>
      <c r="AB32">
        <v>108.2</v>
      </c>
      <c r="AC32">
        <v>109.8</v>
      </c>
      <c r="AD32">
        <v>117.4</v>
      </c>
    </row>
    <row r="33" spans="1:30" x14ac:dyDescent="0.25">
      <c r="A33" t="s">
        <v>33</v>
      </c>
      <c r="B33">
        <v>2013</v>
      </c>
      <c r="C33" t="s">
        <v>45</v>
      </c>
      <c r="D33">
        <v>119.8</v>
      </c>
      <c r="E33">
        <v>116.3</v>
      </c>
      <c r="F33">
        <v>122.6</v>
      </c>
      <c r="G33">
        <v>112</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D33">
        <v>115</v>
      </c>
    </row>
    <row r="34" spans="1:30" x14ac:dyDescent="0.25">
      <c r="A34" t="s">
        <v>34</v>
      </c>
      <c r="B34">
        <v>2013</v>
      </c>
      <c r="C34" t="s">
        <v>45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D34">
        <v>116.3</v>
      </c>
    </row>
    <row r="35" spans="1:30" x14ac:dyDescent="0.25">
      <c r="A35" t="s">
        <v>30</v>
      </c>
      <c r="B35">
        <v>2013</v>
      </c>
      <c r="C35" t="s">
        <v>46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t="s">
        <v>32</v>
      </c>
      <c r="V35">
        <v>112.8</v>
      </c>
      <c r="W35">
        <v>112.1</v>
      </c>
      <c r="X35">
        <v>110.1</v>
      </c>
      <c r="Y35">
        <v>109.9</v>
      </c>
      <c r="Z35">
        <v>109.2</v>
      </c>
      <c r="AA35">
        <v>111.6</v>
      </c>
      <c r="AB35">
        <v>108.1</v>
      </c>
      <c r="AC35">
        <v>110.1</v>
      </c>
      <c r="AD35">
        <v>115.5</v>
      </c>
    </row>
    <row r="36" spans="1:30" x14ac:dyDescent="0.25">
      <c r="A36" t="s">
        <v>33</v>
      </c>
      <c r="B36">
        <v>2013</v>
      </c>
      <c r="C36" t="s">
        <v>46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D36">
        <v>113.3</v>
      </c>
    </row>
    <row r="37" spans="1:30" x14ac:dyDescent="0.25">
      <c r="A37" t="s">
        <v>34</v>
      </c>
      <c r="B37">
        <v>2013</v>
      </c>
      <c r="C37" t="s">
        <v>46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D37">
        <v>114.5</v>
      </c>
    </row>
    <row r="38" spans="1:30" x14ac:dyDescent="0.25">
      <c r="A38" t="s">
        <v>30</v>
      </c>
      <c r="B38">
        <v>2014</v>
      </c>
      <c r="C38" t="s">
        <v>31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t="s">
        <v>32</v>
      </c>
      <c r="V38">
        <v>113</v>
      </c>
      <c r="W38">
        <v>112.6</v>
      </c>
      <c r="X38">
        <v>110.6</v>
      </c>
      <c r="Y38">
        <v>110.5</v>
      </c>
      <c r="Z38">
        <v>109.6</v>
      </c>
      <c r="AA38">
        <v>111.8</v>
      </c>
      <c r="AB38">
        <v>108.3</v>
      </c>
      <c r="AC38">
        <v>110.6</v>
      </c>
      <c r="AD38">
        <v>114.2</v>
      </c>
    </row>
    <row r="39" spans="1:30" x14ac:dyDescent="0.25">
      <c r="A39" t="s">
        <v>33</v>
      </c>
      <c r="B39">
        <v>2014</v>
      </c>
      <c r="C39" t="s">
        <v>31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D39">
        <v>112.9</v>
      </c>
    </row>
    <row r="40" spans="1:30" x14ac:dyDescent="0.25">
      <c r="A40" t="s">
        <v>34</v>
      </c>
      <c r="B40">
        <v>2014</v>
      </c>
      <c r="C40" t="s">
        <v>31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D40">
        <v>113.6</v>
      </c>
    </row>
    <row r="41" spans="1:30" x14ac:dyDescent="0.25">
      <c r="A41" t="s">
        <v>30</v>
      </c>
      <c r="B41">
        <v>2014</v>
      </c>
      <c r="C41" t="s">
        <v>35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t="s">
        <v>32</v>
      </c>
      <c r="V41">
        <v>113.2</v>
      </c>
      <c r="W41">
        <v>112.9</v>
      </c>
      <c r="X41">
        <v>110.9</v>
      </c>
      <c r="Y41">
        <v>110.8</v>
      </c>
      <c r="Z41">
        <v>109.9</v>
      </c>
      <c r="AA41">
        <v>112</v>
      </c>
      <c r="AB41">
        <v>108.7</v>
      </c>
      <c r="AC41">
        <v>110.9</v>
      </c>
      <c r="AD41">
        <v>114</v>
      </c>
    </row>
    <row r="42" spans="1:30" x14ac:dyDescent="0.25">
      <c r="A42" t="s">
        <v>33</v>
      </c>
      <c r="B42">
        <v>2014</v>
      </c>
      <c r="C42" t="s">
        <v>35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D42">
        <v>113.1</v>
      </c>
    </row>
    <row r="43" spans="1:30" x14ac:dyDescent="0.25">
      <c r="A43" t="s">
        <v>34</v>
      </c>
      <c r="B43">
        <v>2014</v>
      </c>
      <c r="C43" t="s">
        <v>35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D43">
        <v>113.6</v>
      </c>
    </row>
    <row r="44" spans="1:30" x14ac:dyDescent="0.25">
      <c r="A44" t="s">
        <v>30</v>
      </c>
      <c r="B44">
        <v>2014</v>
      </c>
      <c r="C44" t="s">
        <v>36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t="s">
        <v>32</v>
      </c>
      <c r="V44">
        <v>113.4</v>
      </c>
      <c r="W44">
        <v>113.4</v>
      </c>
      <c r="X44">
        <v>111.4</v>
      </c>
      <c r="Y44">
        <v>111.2</v>
      </c>
      <c r="Z44">
        <v>110.2</v>
      </c>
      <c r="AA44">
        <v>112.4</v>
      </c>
      <c r="AB44">
        <v>108.9</v>
      </c>
      <c r="AC44">
        <v>111.3</v>
      </c>
      <c r="AD44">
        <v>114.6</v>
      </c>
    </row>
    <row r="45" spans="1:30" x14ac:dyDescent="0.25">
      <c r="A45" t="s">
        <v>33</v>
      </c>
      <c r="B45">
        <v>2014</v>
      </c>
      <c r="C45" t="s">
        <v>36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D45">
        <v>113.7</v>
      </c>
    </row>
    <row r="46" spans="1:30" x14ac:dyDescent="0.25">
      <c r="A46" t="s">
        <v>34</v>
      </c>
      <c r="B46">
        <v>2014</v>
      </c>
      <c r="C46" t="s">
        <v>47</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D46">
        <v>114.2</v>
      </c>
    </row>
    <row r="47" spans="1:30" x14ac:dyDescent="0.25">
      <c r="A47" t="s">
        <v>30</v>
      </c>
      <c r="B47">
        <v>2014</v>
      </c>
      <c r="C47" t="s">
        <v>37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t="s">
        <v>32</v>
      </c>
      <c r="V47">
        <v>113.4</v>
      </c>
      <c r="W47">
        <v>113.7</v>
      </c>
      <c r="X47">
        <v>111.8</v>
      </c>
      <c r="Y47">
        <v>111.2</v>
      </c>
      <c r="Z47">
        <v>110.5</v>
      </c>
      <c r="AA47">
        <v>113</v>
      </c>
      <c r="AB47">
        <v>108.9</v>
      </c>
      <c r="AC47">
        <v>111.5</v>
      </c>
      <c r="AD47">
        <v>115.4</v>
      </c>
    </row>
    <row r="48" spans="1:30" x14ac:dyDescent="0.25">
      <c r="A48" t="s">
        <v>33</v>
      </c>
      <c r="B48">
        <v>2014</v>
      </c>
      <c r="C48" t="s">
        <v>37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D48">
        <v>114.7</v>
      </c>
    </row>
    <row r="49" spans="1:30" x14ac:dyDescent="0.25">
      <c r="A49" t="s">
        <v>34</v>
      </c>
      <c r="B49">
        <v>2014</v>
      </c>
      <c r="C49" t="s">
        <v>37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D49">
        <v>115.1</v>
      </c>
    </row>
    <row r="50" spans="1:30" x14ac:dyDescent="0.25">
      <c r="A50" t="s">
        <v>30</v>
      </c>
      <c r="B50">
        <v>2014</v>
      </c>
      <c r="C50" t="s">
        <v>38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t="s">
        <v>32</v>
      </c>
      <c r="V50">
        <v>113.4</v>
      </c>
      <c r="W50">
        <v>114.1</v>
      </c>
      <c r="X50">
        <v>112.1</v>
      </c>
      <c r="Y50">
        <v>111.4</v>
      </c>
      <c r="Z50">
        <v>110.9</v>
      </c>
      <c r="AA50">
        <v>113.1</v>
      </c>
      <c r="AB50">
        <v>108.9</v>
      </c>
      <c r="AC50">
        <v>111.8</v>
      </c>
      <c r="AD50">
        <v>116</v>
      </c>
    </row>
    <row r="51" spans="1:30" x14ac:dyDescent="0.25">
      <c r="A51" t="s">
        <v>33</v>
      </c>
      <c r="B51">
        <v>2014</v>
      </c>
      <c r="C51" t="s">
        <v>38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D51">
        <v>115.6</v>
      </c>
    </row>
    <row r="52" spans="1:30" x14ac:dyDescent="0.25">
      <c r="A52" t="s">
        <v>34</v>
      </c>
      <c r="B52">
        <v>2014</v>
      </c>
      <c r="C52" t="s">
        <v>38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D52">
        <v>115.8</v>
      </c>
    </row>
    <row r="53" spans="1:30" x14ac:dyDescent="0.25">
      <c r="A53" t="s">
        <v>30</v>
      </c>
      <c r="B53">
        <v>2014</v>
      </c>
      <c r="C53" t="s">
        <v>39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t="s">
        <v>32</v>
      </c>
      <c r="V53">
        <v>114.4</v>
      </c>
      <c r="W53">
        <v>114.9</v>
      </c>
      <c r="X53">
        <v>112.8</v>
      </c>
      <c r="Y53">
        <v>112.2</v>
      </c>
      <c r="Z53">
        <v>111.4</v>
      </c>
      <c r="AA53">
        <v>114.3</v>
      </c>
      <c r="AB53">
        <v>108</v>
      </c>
      <c r="AC53">
        <v>112.3</v>
      </c>
      <c r="AD53">
        <v>117</v>
      </c>
    </row>
    <row r="54" spans="1:30" x14ac:dyDescent="0.25">
      <c r="A54" t="s">
        <v>33</v>
      </c>
      <c r="B54">
        <v>2014</v>
      </c>
      <c r="C54" t="s">
        <v>39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D54">
        <v>116.4</v>
      </c>
    </row>
    <row r="55" spans="1:30" x14ac:dyDescent="0.25">
      <c r="A55" t="s">
        <v>34</v>
      </c>
      <c r="B55">
        <v>2014</v>
      </c>
      <c r="C55" t="s">
        <v>39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D55">
        <v>116.7</v>
      </c>
    </row>
    <row r="56" spans="1:30" x14ac:dyDescent="0.25">
      <c r="A56" t="s">
        <v>30</v>
      </c>
      <c r="B56">
        <v>2014</v>
      </c>
      <c r="C56" t="s">
        <v>40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t="s">
        <v>32</v>
      </c>
      <c r="V56">
        <v>115.3</v>
      </c>
      <c r="W56">
        <v>115.4</v>
      </c>
      <c r="X56">
        <v>113.4</v>
      </c>
      <c r="Y56">
        <v>113.2</v>
      </c>
      <c r="Z56">
        <v>111.8</v>
      </c>
      <c r="AA56">
        <v>115.5</v>
      </c>
      <c r="AB56">
        <v>108.8</v>
      </c>
      <c r="AC56">
        <v>113.1</v>
      </c>
      <c r="AD56">
        <v>119.5</v>
      </c>
    </row>
    <row r="57" spans="1:30" x14ac:dyDescent="0.25">
      <c r="A57" t="s">
        <v>33</v>
      </c>
      <c r="B57">
        <v>2014</v>
      </c>
      <c r="C57" t="s">
        <v>40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D57">
        <v>118.9</v>
      </c>
    </row>
    <row r="58" spans="1:30" x14ac:dyDescent="0.25">
      <c r="A58" t="s">
        <v>34</v>
      </c>
      <c r="B58">
        <v>2014</v>
      </c>
      <c r="C58" t="s">
        <v>40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D58">
        <v>119.2</v>
      </c>
    </row>
    <row r="59" spans="1:30" x14ac:dyDescent="0.25">
      <c r="A59" t="s">
        <v>30</v>
      </c>
      <c r="B59">
        <v>2014</v>
      </c>
      <c r="C59" t="s">
        <v>41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t="s">
        <v>32</v>
      </c>
      <c r="V59">
        <v>115.4</v>
      </c>
      <c r="W59">
        <v>115.9</v>
      </c>
      <c r="X59">
        <v>114</v>
      </c>
      <c r="Y59">
        <v>113.2</v>
      </c>
      <c r="Z59">
        <v>112.2</v>
      </c>
      <c r="AA59">
        <v>116.2</v>
      </c>
      <c r="AB59">
        <v>109.4</v>
      </c>
      <c r="AC59">
        <v>113.5</v>
      </c>
      <c r="AD59">
        <v>120.7</v>
      </c>
    </row>
    <row r="60" spans="1:30" x14ac:dyDescent="0.25">
      <c r="A60" t="s">
        <v>33</v>
      </c>
      <c r="B60">
        <v>2014</v>
      </c>
      <c r="C60" t="s">
        <v>41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D60">
        <v>119.9</v>
      </c>
    </row>
    <row r="61" spans="1:30" x14ac:dyDescent="0.25">
      <c r="A61" t="s">
        <v>34</v>
      </c>
      <c r="B61">
        <v>2014</v>
      </c>
      <c r="C61" t="s">
        <v>41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D61">
        <v>120.3</v>
      </c>
    </row>
    <row r="62" spans="1:30" x14ac:dyDescent="0.25">
      <c r="A62" t="s">
        <v>30</v>
      </c>
      <c r="B62">
        <v>2014</v>
      </c>
      <c r="C62" t="s">
        <v>42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t="s">
        <v>32</v>
      </c>
      <c r="V62">
        <v>115.8</v>
      </c>
      <c r="W62">
        <v>116.7</v>
      </c>
      <c r="X62">
        <v>114.5</v>
      </c>
      <c r="Y62">
        <v>112.8</v>
      </c>
      <c r="Z62">
        <v>112.6</v>
      </c>
      <c r="AA62">
        <v>116.6</v>
      </c>
      <c r="AB62">
        <v>109.1</v>
      </c>
      <c r="AC62">
        <v>113.7</v>
      </c>
      <c r="AD62">
        <v>120.9</v>
      </c>
    </row>
    <row r="63" spans="1:30" x14ac:dyDescent="0.25">
      <c r="A63" t="s">
        <v>33</v>
      </c>
      <c r="B63">
        <v>2014</v>
      </c>
      <c r="C63" t="s">
        <v>42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D63">
        <v>119.2</v>
      </c>
    </row>
    <row r="64" spans="1:30" x14ac:dyDescent="0.25">
      <c r="A64" t="s">
        <v>34</v>
      </c>
      <c r="B64">
        <v>2014</v>
      </c>
      <c r="C64" t="s">
        <v>42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D64">
        <v>120.1</v>
      </c>
    </row>
    <row r="65" spans="1:30" x14ac:dyDescent="0.25">
      <c r="A65" t="s">
        <v>30</v>
      </c>
      <c r="B65">
        <v>2014</v>
      </c>
      <c r="C65" t="s">
        <v>43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t="s">
        <v>32</v>
      </c>
      <c r="V65">
        <v>116.4</v>
      </c>
      <c r="W65">
        <v>117.5</v>
      </c>
      <c r="X65">
        <v>115.3</v>
      </c>
      <c r="Y65">
        <v>112.6</v>
      </c>
      <c r="Z65">
        <v>113</v>
      </c>
      <c r="AA65">
        <v>116.9</v>
      </c>
      <c r="AB65">
        <v>109.3</v>
      </c>
      <c r="AC65">
        <v>114</v>
      </c>
      <c r="AD65">
        <v>121</v>
      </c>
    </row>
    <row r="66" spans="1:30" x14ac:dyDescent="0.25">
      <c r="A66" t="s">
        <v>33</v>
      </c>
      <c r="B66">
        <v>2014</v>
      </c>
      <c r="C66" t="s">
        <v>43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D66">
        <v>119.1</v>
      </c>
    </row>
    <row r="67" spans="1:30" x14ac:dyDescent="0.25">
      <c r="A67" t="s">
        <v>34</v>
      </c>
      <c r="B67">
        <v>2014</v>
      </c>
      <c r="C67" t="s">
        <v>43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D67">
        <v>120.1</v>
      </c>
    </row>
    <row r="68" spans="1:30" x14ac:dyDescent="0.25">
      <c r="A68" t="s">
        <v>30</v>
      </c>
      <c r="B68">
        <v>2014</v>
      </c>
      <c r="C68" t="s">
        <v>45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t="s">
        <v>32</v>
      </c>
      <c r="V68">
        <v>117.3</v>
      </c>
      <c r="W68">
        <v>118.1</v>
      </c>
      <c r="X68">
        <v>115.9</v>
      </c>
      <c r="Y68">
        <v>112</v>
      </c>
      <c r="Z68">
        <v>113.3</v>
      </c>
      <c r="AA68">
        <v>117.2</v>
      </c>
      <c r="AB68">
        <v>108.8</v>
      </c>
      <c r="AC68">
        <v>114.1</v>
      </c>
      <c r="AD68">
        <v>121.1</v>
      </c>
    </row>
    <row r="69" spans="1:30" x14ac:dyDescent="0.25">
      <c r="A69" t="s">
        <v>33</v>
      </c>
      <c r="B69">
        <v>2014</v>
      </c>
      <c r="C69" t="s">
        <v>45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D69">
        <v>119</v>
      </c>
    </row>
    <row r="70" spans="1:30" x14ac:dyDescent="0.25">
      <c r="A70" t="s">
        <v>34</v>
      </c>
      <c r="B70">
        <v>2014</v>
      </c>
      <c r="C70" t="s">
        <v>45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D70">
        <v>120.1</v>
      </c>
    </row>
    <row r="71" spans="1:30" x14ac:dyDescent="0.25">
      <c r="A71" t="s">
        <v>30</v>
      </c>
      <c r="B71">
        <v>2014</v>
      </c>
      <c r="C71" t="s">
        <v>46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t="s">
        <v>32</v>
      </c>
      <c r="V71">
        <v>117.4</v>
      </c>
      <c r="W71">
        <v>118.2</v>
      </c>
      <c r="X71">
        <v>116.2</v>
      </c>
      <c r="Y71">
        <v>111.5</v>
      </c>
      <c r="Z71">
        <v>113.3</v>
      </c>
      <c r="AA71">
        <v>117.7</v>
      </c>
      <c r="AB71">
        <v>109.4</v>
      </c>
      <c r="AC71">
        <v>114.2</v>
      </c>
      <c r="AD71">
        <v>120.3</v>
      </c>
    </row>
    <row r="72" spans="1:30" x14ac:dyDescent="0.25">
      <c r="A72" t="s">
        <v>33</v>
      </c>
      <c r="B72">
        <v>2014</v>
      </c>
      <c r="C72" t="s">
        <v>46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D72">
        <v>118.4</v>
      </c>
    </row>
    <row r="73" spans="1:30" x14ac:dyDescent="0.25">
      <c r="A73" t="s">
        <v>34</v>
      </c>
      <c r="B73">
        <v>2014</v>
      </c>
      <c r="C73" t="s">
        <v>46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D73">
        <v>119.4</v>
      </c>
    </row>
    <row r="74" spans="1:30" x14ac:dyDescent="0.25">
      <c r="A74" t="s">
        <v>30</v>
      </c>
      <c r="B74">
        <v>2015</v>
      </c>
      <c r="C74" t="s">
        <v>31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t="s">
        <v>32</v>
      </c>
      <c r="V74">
        <v>118.4</v>
      </c>
      <c r="W74">
        <v>118.9</v>
      </c>
      <c r="X74">
        <v>116.6</v>
      </c>
      <c r="Y74">
        <v>111</v>
      </c>
      <c r="Z74">
        <v>114</v>
      </c>
      <c r="AA74">
        <v>118.2</v>
      </c>
      <c r="AB74">
        <v>110.2</v>
      </c>
      <c r="AC74">
        <v>114.5</v>
      </c>
      <c r="AD74">
        <v>120.3</v>
      </c>
    </row>
    <row r="75" spans="1:30" x14ac:dyDescent="0.25">
      <c r="A75" t="s">
        <v>33</v>
      </c>
      <c r="B75">
        <v>2015</v>
      </c>
      <c r="C75" t="s">
        <v>31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D75">
        <v>118.5</v>
      </c>
    </row>
    <row r="76" spans="1:30" x14ac:dyDescent="0.25">
      <c r="A76" t="s">
        <v>34</v>
      </c>
      <c r="B76">
        <v>2015</v>
      </c>
      <c r="C76" t="s">
        <v>31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D76">
        <v>119.5</v>
      </c>
    </row>
    <row r="77" spans="1:30" x14ac:dyDescent="0.25">
      <c r="A77" t="s">
        <v>30</v>
      </c>
      <c r="B77">
        <v>2015</v>
      </c>
      <c r="C77" t="s">
        <v>35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t="s">
        <v>32</v>
      </c>
      <c r="V77">
        <v>120</v>
      </c>
      <c r="W77">
        <v>119.6</v>
      </c>
      <c r="X77">
        <v>117.7</v>
      </c>
      <c r="Y77">
        <v>110.9</v>
      </c>
      <c r="Z77">
        <v>114.8</v>
      </c>
      <c r="AA77">
        <v>118.7</v>
      </c>
      <c r="AB77">
        <v>110.8</v>
      </c>
      <c r="AC77">
        <v>115</v>
      </c>
      <c r="AD77">
        <v>120.6</v>
      </c>
    </row>
    <row r="78" spans="1:30" x14ac:dyDescent="0.25">
      <c r="A78" t="s">
        <v>33</v>
      </c>
      <c r="B78">
        <v>2015</v>
      </c>
      <c r="C78" t="s">
        <v>35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D78">
        <v>118.7</v>
      </c>
    </row>
    <row r="79" spans="1:30" x14ac:dyDescent="0.25">
      <c r="A79" t="s">
        <v>34</v>
      </c>
      <c r="B79">
        <v>2015</v>
      </c>
      <c r="C79" t="s">
        <v>35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D79">
        <v>119.7</v>
      </c>
    </row>
    <row r="80" spans="1:30" x14ac:dyDescent="0.25">
      <c r="A80" t="s">
        <v>30</v>
      </c>
      <c r="B80">
        <v>2015</v>
      </c>
      <c r="C80" t="s">
        <v>36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t="s">
        <v>32</v>
      </c>
      <c r="V80">
        <v>120.6</v>
      </c>
      <c r="W80">
        <v>120.2</v>
      </c>
      <c r="X80">
        <v>118.2</v>
      </c>
      <c r="Y80">
        <v>111.6</v>
      </c>
      <c r="Z80">
        <v>115.5</v>
      </c>
      <c r="AA80">
        <v>119.4</v>
      </c>
      <c r="AB80">
        <v>110.8</v>
      </c>
      <c r="AC80">
        <v>115.5</v>
      </c>
      <c r="AD80">
        <v>121.1</v>
      </c>
    </row>
    <row r="81" spans="1:30" x14ac:dyDescent="0.25">
      <c r="A81" t="s">
        <v>33</v>
      </c>
      <c r="B81">
        <v>2015</v>
      </c>
      <c r="C81" t="s">
        <v>36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D81">
        <v>119.1</v>
      </c>
    </row>
    <row r="82" spans="1:30" x14ac:dyDescent="0.25">
      <c r="A82" t="s">
        <v>34</v>
      </c>
      <c r="B82">
        <v>2015</v>
      </c>
      <c r="C82" t="s">
        <v>36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D82">
        <v>120.2</v>
      </c>
    </row>
    <row r="83" spans="1:30" x14ac:dyDescent="0.25">
      <c r="A83" t="s">
        <v>30</v>
      </c>
      <c r="B83">
        <v>2015</v>
      </c>
      <c r="C83" t="s">
        <v>37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t="s">
        <v>32</v>
      </c>
      <c r="V83">
        <v>121.2</v>
      </c>
      <c r="W83">
        <v>120.9</v>
      </c>
      <c r="X83">
        <v>118.6</v>
      </c>
      <c r="Y83">
        <v>111.9</v>
      </c>
      <c r="Z83">
        <v>116.2</v>
      </c>
      <c r="AA83">
        <v>119.9</v>
      </c>
      <c r="AB83">
        <v>111.6</v>
      </c>
      <c r="AC83">
        <v>116</v>
      </c>
      <c r="AD83">
        <v>121.5</v>
      </c>
    </row>
    <row r="84" spans="1:30" x14ac:dyDescent="0.25">
      <c r="A84" t="s">
        <v>33</v>
      </c>
      <c r="B84">
        <v>2015</v>
      </c>
      <c r="C84" t="s">
        <v>37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D84">
        <v>119.7</v>
      </c>
    </row>
    <row r="85" spans="1:30" x14ac:dyDescent="0.25">
      <c r="A85" t="s">
        <v>34</v>
      </c>
      <c r="B85">
        <v>2015</v>
      </c>
      <c r="C85" t="s">
        <v>37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D85">
        <v>120.7</v>
      </c>
    </row>
    <row r="86" spans="1:30" x14ac:dyDescent="0.25">
      <c r="A86" t="s">
        <v>30</v>
      </c>
      <c r="B86">
        <v>2015</v>
      </c>
      <c r="C86" t="s">
        <v>38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t="s">
        <v>32</v>
      </c>
      <c r="V86">
        <v>121.9</v>
      </c>
      <c r="W86">
        <v>121.5</v>
      </c>
      <c r="X86">
        <v>119.4</v>
      </c>
      <c r="Y86">
        <v>113.3</v>
      </c>
      <c r="Z86">
        <v>116.7</v>
      </c>
      <c r="AA86">
        <v>120.5</v>
      </c>
      <c r="AB86">
        <v>112.3</v>
      </c>
      <c r="AC86">
        <v>116.9</v>
      </c>
      <c r="AD86">
        <v>122.4</v>
      </c>
    </row>
    <row r="87" spans="1:30" x14ac:dyDescent="0.25">
      <c r="A87" t="s">
        <v>33</v>
      </c>
      <c r="B87">
        <v>2015</v>
      </c>
      <c r="C87" t="s">
        <v>38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D87">
        <v>120.7</v>
      </c>
    </row>
    <row r="88" spans="1:30" x14ac:dyDescent="0.25">
      <c r="A88" t="s">
        <v>34</v>
      </c>
      <c r="B88">
        <v>2015</v>
      </c>
      <c r="C88" t="s">
        <v>38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D88">
        <v>121.6</v>
      </c>
    </row>
    <row r="89" spans="1:30" x14ac:dyDescent="0.25">
      <c r="A89" t="s">
        <v>30</v>
      </c>
      <c r="B89">
        <v>2015</v>
      </c>
      <c r="C89" t="s">
        <v>39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t="s">
        <v>32</v>
      </c>
      <c r="V89">
        <v>122.6</v>
      </c>
      <c r="W89">
        <v>122.8</v>
      </c>
      <c r="X89">
        <v>120.4</v>
      </c>
      <c r="Y89">
        <v>114.2</v>
      </c>
      <c r="Z89">
        <v>117.9</v>
      </c>
      <c r="AA89">
        <v>122</v>
      </c>
      <c r="AB89">
        <v>113</v>
      </c>
      <c r="AC89">
        <v>117.9</v>
      </c>
      <c r="AD89">
        <v>124.1</v>
      </c>
    </row>
    <row r="90" spans="1:30" x14ac:dyDescent="0.25">
      <c r="A90" t="s">
        <v>33</v>
      </c>
      <c r="B90">
        <v>2015</v>
      </c>
      <c r="C90" t="s">
        <v>39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D90">
        <v>121.7</v>
      </c>
    </row>
    <row r="91" spans="1:30" x14ac:dyDescent="0.25">
      <c r="A91" t="s">
        <v>34</v>
      </c>
      <c r="B91">
        <v>2015</v>
      </c>
      <c r="C91" t="s">
        <v>39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D91">
        <v>123</v>
      </c>
    </row>
    <row r="92" spans="1:30" x14ac:dyDescent="0.25">
      <c r="A92" t="s">
        <v>30</v>
      </c>
      <c r="B92">
        <v>2015</v>
      </c>
      <c r="C92" t="s">
        <v>40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t="s">
        <v>32</v>
      </c>
      <c r="V92">
        <v>123</v>
      </c>
      <c r="W92">
        <v>123</v>
      </c>
      <c r="X92">
        <v>120.8</v>
      </c>
      <c r="Y92">
        <v>114.1</v>
      </c>
      <c r="Z92">
        <v>118</v>
      </c>
      <c r="AA92">
        <v>122.9</v>
      </c>
      <c r="AB92">
        <v>112.7</v>
      </c>
      <c r="AC92">
        <v>118.1</v>
      </c>
      <c r="AD92">
        <v>124.7</v>
      </c>
    </row>
    <row r="93" spans="1:30" x14ac:dyDescent="0.25">
      <c r="A93" t="s">
        <v>33</v>
      </c>
      <c r="B93">
        <v>2015</v>
      </c>
      <c r="C93" t="s">
        <v>40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D93">
        <v>122.4</v>
      </c>
    </row>
    <row r="94" spans="1:30" x14ac:dyDescent="0.25">
      <c r="A94" t="s">
        <v>34</v>
      </c>
      <c r="B94">
        <v>2015</v>
      </c>
      <c r="C94" t="s">
        <v>40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D94">
        <v>123.6</v>
      </c>
    </row>
    <row r="95" spans="1:30" x14ac:dyDescent="0.25">
      <c r="A95" t="s">
        <v>30</v>
      </c>
      <c r="B95">
        <v>2015</v>
      </c>
      <c r="C95" t="s">
        <v>41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t="s">
        <v>32</v>
      </c>
      <c r="V95">
        <v>123.8</v>
      </c>
      <c r="W95">
        <v>123.7</v>
      </c>
      <c r="X95">
        <v>121.1</v>
      </c>
      <c r="Y95">
        <v>113.6</v>
      </c>
      <c r="Z95">
        <v>118.5</v>
      </c>
      <c r="AA95">
        <v>123.6</v>
      </c>
      <c r="AB95">
        <v>112.5</v>
      </c>
      <c r="AC95">
        <v>118.2</v>
      </c>
      <c r="AD95">
        <v>126.1</v>
      </c>
    </row>
    <row r="96" spans="1:30" x14ac:dyDescent="0.25">
      <c r="A96" t="s">
        <v>33</v>
      </c>
      <c r="B96">
        <v>2015</v>
      </c>
      <c r="C96" t="s">
        <v>41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D96">
        <v>123.2</v>
      </c>
    </row>
    <row r="97" spans="1:30" x14ac:dyDescent="0.25">
      <c r="A97" t="s">
        <v>34</v>
      </c>
      <c r="B97">
        <v>2015</v>
      </c>
      <c r="C97" t="s">
        <v>41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D97">
        <v>124.8</v>
      </c>
    </row>
    <row r="98" spans="1:30" x14ac:dyDescent="0.25">
      <c r="A98" t="s">
        <v>30</v>
      </c>
      <c r="B98">
        <v>2015</v>
      </c>
      <c r="C98" t="s">
        <v>42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t="s">
        <v>32</v>
      </c>
      <c r="V98">
        <v>123.7</v>
      </c>
      <c r="W98">
        <v>124.5</v>
      </c>
      <c r="X98">
        <v>121.4</v>
      </c>
      <c r="Y98">
        <v>113.8</v>
      </c>
      <c r="Z98">
        <v>119.6</v>
      </c>
      <c r="AA98">
        <v>124.5</v>
      </c>
      <c r="AB98">
        <v>113.7</v>
      </c>
      <c r="AC98">
        <v>118.8</v>
      </c>
      <c r="AD98">
        <v>127</v>
      </c>
    </row>
    <row r="99" spans="1:30" x14ac:dyDescent="0.25">
      <c r="A99" t="s">
        <v>33</v>
      </c>
      <c r="B99">
        <v>2015</v>
      </c>
      <c r="C99" t="s">
        <v>42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D99">
        <v>123.5</v>
      </c>
    </row>
    <row r="100" spans="1:30" x14ac:dyDescent="0.25">
      <c r="A100" t="s">
        <v>34</v>
      </c>
      <c r="B100">
        <v>2015</v>
      </c>
      <c r="C100" t="s">
        <v>42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D100">
        <v>125.4</v>
      </c>
    </row>
    <row r="101" spans="1:30" x14ac:dyDescent="0.25">
      <c r="A101" t="s">
        <v>30</v>
      </c>
      <c r="B101">
        <v>2015</v>
      </c>
      <c r="C101" t="s">
        <v>43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t="s">
        <v>32</v>
      </c>
      <c r="V101">
        <v>124.4</v>
      </c>
      <c r="W101">
        <v>125.1</v>
      </c>
      <c r="X101">
        <v>122</v>
      </c>
      <c r="Y101">
        <v>113.8</v>
      </c>
      <c r="Z101">
        <v>120.1</v>
      </c>
      <c r="AA101">
        <v>125.1</v>
      </c>
      <c r="AB101">
        <v>114.2</v>
      </c>
      <c r="AC101">
        <v>119.2</v>
      </c>
      <c r="AD101">
        <v>127.7</v>
      </c>
    </row>
    <row r="102" spans="1:30" x14ac:dyDescent="0.25">
      <c r="A102" t="s">
        <v>33</v>
      </c>
      <c r="B102">
        <v>2015</v>
      </c>
      <c r="C102" t="s">
        <v>43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D102">
        <v>124.2</v>
      </c>
    </row>
    <row r="103" spans="1:30" x14ac:dyDescent="0.25">
      <c r="A103" t="s">
        <v>34</v>
      </c>
      <c r="B103">
        <v>2015</v>
      </c>
      <c r="C103" t="s">
        <v>43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D103">
        <v>126.1</v>
      </c>
    </row>
    <row r="104" spans="1:30" x14ac:dyDescent="0.25">
      <c r="A104" t="s">
        <v>30</v>
      </c>
      <c r="B104">
        <v>2015</v>
      </c>
      <c r="C104" t="s">
        <v>45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t="s">
        <v>32</v>
      </c>
      <c r="V104">
        <v>125.6</v>
      </c>
      <c r="W104">
        <v>125.6</v>
      </c>
      <c r="X104">
        <v>122.6</v>
      </c>
      <c r="Y104">
        <v>114</v>
      </c>
      <c r="Z104">
        <v>120.9</v>
      </c>
      <c r="AA104">
        <v>125.8</v>
      </c>
      <c r="AB104">
        <v>114.2</v>
      </c>
      <c r="AC104">
        <v>119.6</v>
      </c>
      <c r="AD104">
        <v>128.30000000000001</v>
      </c>
    </row>
    <row r="105" spans="1:30" x14ac:dyDescent="0.25">
      <c r="A105" t="s">
        <v>33</v>
      </c>
      <c r="B105">
        <v>2015</v>
      </c>
      <c r="C105" t="s">
        <v>45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D105">
        <v>124.6</v>
      </c>
    </row>
    <row r="106" spans="1:30" x14ac:dyDescent="0.25">
      <c r="A106" t="s">
        <v>34</v>
      </c>
      <c r="B106">
        <v>2015</v>
      </c>
      <c r="C106" t="s">
        <v>45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D106">
        <v>126.6</v>
      </c>
    </row>
    <row r="107" spans="1:30" x14ac:dyDescent="0.25">
      <c r="A107" t="s">
        <v>30</v>
      </c>
      <c r="B107">
        <v>2015</v>
      </c>
      <c r="C107" t="s">
        <v>46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t="s">
        <v>32</v>
      </c>
      <c r="V107">
        <v>125.7</v>
      </c>
      <c r="W107">
        <v>126</v>
      </c>
      <c r="X107">
        <v>123.1</v>
      </c>
      <c r="Y107">
        <v>114</v>
      </c>
      <c r="Z107">
        <v>121.6</v>
      </c>
      <c r="AA107">
        <v>125.6</v>
      </c>
      <c r="AB107">
        <v>114.1</v>
      </c>
      <c r="AC107">
        <v>119.8</v>
      </c>
      <c r="AD107">
        <v>127.9</v>
      </c>
    </row>
    <row r="108" spans="1:30" x14ac:dyDescent="0.25">
      <c r="A108" t="s">
        <v>33</v>
      </c>
      <c r="B108">
        <v>2015</v>
      </c>
      <c r="C108" t="s">
        <v>46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D108">
        <v>124</v>
      </c>
    </row>
    <row r="109" spans="1:30" x14ac:dyDescent="0.25">
      <c r="A109" t="s">
        <v>34</v>
      </c>
      <c r="B109">
        <v>2015</v>
      </c>
      <c r="C109" t="s">
        <v>46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D109">
        <v>126.1</v>
      </c>
    </row>
    <row r="110" spans="1:30" x14ac:dyDescent="0.25">
      <c r="A110" t="s">
        <v>30</v>
      </c>
      <c r="B110">
        <v>2016</v>
      </c>
      <c r="C110" t="s">
        <v>31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t="s">
        <v>32</v>
      </c>
      <c r="V110">
        <v>126.2</v>
      </c>
      <c r="W110">
        <v>126.6</v>
      </c>
      <c r="X110">
        <v>123.7</v>
      </c>
      <c r="Y110">
        <v>113.6</v>
      </c>
      <c r="Z110">
        <v>121.4</v>
      </c>
      <c r="AA110">
        <v>126.2</v>
      </c>
      <c r="AB110">
        <v>114.9</v>
      </c>
      <c r="AC110">
        <v>120.1</v>
      </c>
      <c r="AD110">
        <v>128.1</v>
      </c>
    </row>
    <row r="111" spans="1:30" x14ac:dyDescent="0.25">
      <c r="A111" t="s">
        <v>33</v>
      </c>
      <c r="B111">
        <v>2016</v>
      </c>
      <c r="C111" t="s">
        <v>31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D111">
        <v>124.2</v>
      </c>
    </row>
    <row r="112" spans="1:30" x14ac:dyDescent="0.25">
      <c r="A112" t="s">
        <v>34</v>
      </c>
      <c r="B112">
        <v>2016</v>
      </c>
      <c r="C112" t="s">
        <v>31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v>126.3</v>
      </c>
    </row>
    <row r="113" spans="1:30" x14ac:dyDescent="0.25">
      <c r="A113" t="s">
        <v>30</v>
      </c>
      <c r="B113">
        <v>2016</v>
      </c>
      <c r="C113" t="s">
        <v>35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t="s">
        <v>32</v>
      </c>
      <c r="V113">
        <v>127.5</v>
      </c>
      <c r="W113">
        <v>127.1</v>
      </c>
      <c r="X113">
        <v>124.3</v>
      </c>
      <c r="Y113">
        <v>113.9</v>
      </c>
      <c r="Z113">
        <v>122.3</v>
      </c>
      <c r="AA113">
        <v>127.1</v>
      </c>
      <c r="AB113">
        <v>116.8</v>
      </c>
      <c r="AC113">
        <v>120.9</v>
      </c>
      <c r="AD113">
        <v>127.9</v>
      </c>
    </row>
    <row r="114" spans="1:30" x14ac:dyDescent="0.25">
      <c r="A114" t="s">
        <v>33</v>
      </c>
      <c r="B114">
        <v>2016</v>
      </c>
      <c r="C114" t="s">
        <v>35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D114">
        <v>123.8</v>
      </c>
    </row>
    <row r="115" spans="1:30" x14ac:dyDescent="0.25">
      <c r="A115" t="s">
        <v>34</v>
      </c>
      <c r="B115">
        <v>2016</v>
      </c>
      <c r="C115" t="s">
        <v>35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v>126</v>
      </c>
    </row>
    <row r="116" spans="1:30" x14ac:dyDescent="0.25">
      <c r="A116" t="s">
        <v>30</v>
      </c>
      <c r="B116">
        <v>2016</v>
      </c>
      <c r="C116" t="s">
        <v>36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t="s">
        <v>32</v>
      </c>
      <c r="V116">
        <v>127</v>
      </c>
      <c r="W116">
        <v>127.7</v>
      </c>
      <c r="X116">
        <v>124.8</v>
      </c>
      <c r="Y116">
        <v>113.6</v>
      </c>
      <c r="Z116">
        <v>122.5</v>
      </c>
      <c r="AA116">
        <v>127.5</v>
      </c>
      <c r="AB116">
        <v>117.4</v>
      </c>
      <c r="AC116">
        <v>121.1</v>
      </c>
      <c r="AD116">
        <v>128</v>
      </c>
    </row>
    <row r="117" spans="1:30" x14ac:dyDescent="0.25">
      <c r="A117" t="s">
        <v>33</v>
      </c>
      <c r="B117">
        <v>2016</v>
      </c>
      <c r="C117" t="s">
        <v>36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D117">
        <v>123.8</v>
      </c>
    </row>
    <row r="118" spans="1:30" x14ac:dyDescent="0.25">
      <c r="A118" t="s">
        <v>34</v>
      </c>
      <c r="B118">
        <v>2016</v>
      </c>
      <c r="C118" t="s">
        <v>36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v>126</v>
      </c>
    </row>
    <row r="119" spans="1:30" x14ac:dyDescent="0.25">
      <c r="A119" t="s">
        <v>30</v>
      </c>
      <c r="B119">
        <v>2016</v>
      </c>
      <c r="C119" t="s">
        <v>37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t="s">
        <v>32</v>
      </c>
      <c r="V119">
        <v>127</v>
      </c>
      <c r="W119">
        <v>128</v>
      </c>
      <c r="X119">
        <v>125.2</v>
      </c>
      <c r="Y119">
        <v>114.4</v>
      </c>
      <c r="Z119">
        <v>123.2</v>
      </c>
      <c r="AA119">
        <v>127.9</v>
      </c>
      <c r="AB119">
        <v>118.4</v>
      </c>
      <c r="AC119">
        <v>121.7</v>
      </c>
      <c r="AD119">
        <v>129</v>
      </c>
    </row>
    <row r="120" spans="1:30" x14ac:dyDescent="0.25">
      <c r="A120" t="s">
        <v>33</v>
      </c>
      <c r="B120">
        <v>2016</v>
      </c>
      <c r="C120" t="s">
        <v>37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D120">
        <v>125.3</v>
      </c>
    </row>
    <row r="121" spans="1:30" x14ac:dyDescent="0.25">
      <c r="A121" t="s">
        <v>34</v>
      </c>
      <c r="B121">
        <v>2016</v>
      </c>
      <c r="C121" t="s">
        <v>37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v>127.3</v>
      </c>
    </row>
    <row r="122" spans="1:30" x14ac:dyDescent="0.25">
      <c r="A122" t="s">
        <v>30</v>
      </c>
      <c r="B122">
        <v>2016</v>
      </c>
      <c r="C122" t="s">
        <v>38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t="s">
        <v>32</v>
      </c>
      <c r="V122">
        <v>127.4</v>
      </c>
      <c r="W122">
        <v>128.5</v>
      </c>
      <c r="X122">
        <v>125.8</v>
      </c>
      <c r="Y122">
        <v>115.1</v>
      </c>
      <c r="Z122">
        <v>123.6</v>
      </c>
      <c r="AA122">
        <v>129.1</v>
      </c>
      <c r="AB122">
        <v>119.7</v>
      </c>
      <c r="AC122">
        <v>122.5</v>
      </c>
      <c r="AD122">
        <v>130.30000000000001</v>
      </c>
    </row>
    <row r="123" spans="1:30" x14ac:dyDescent="0.25">
      <c r="A123" t="s">
        <v>33</v>
      </c>
      <c r="B123">
        <v>2016</v>
      </c>
      <c r="C123" t="s">
        <v>38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D123">
        <v>126.6</v>
      </c>
    </row>
    <row r="124" spans="1:30" x14ac:dyDescent="0.25">
      <c r="A124" t="s">
        <v>34</v>
      </c>
      <c r="B124">
        <v>2016</v>
      </c>
      <c r="C124" t="s">
        <v>38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v>128.6</v>
      </c>
    </row>
    <row r="125" spans="1:30" x14ac:dyDescent="0.25">
      <c r="A125" t="s">
        <v>30</v>
      </c>
      <c r="B125">
        <v>2016</v>
      </c>
      <c r="C125" t="s">
        <v>39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t="s">
        <v>32</v>
      </c>
      <c r="V125">
        <v>128</v>
      </c>
      <c r="W125">
        <v>129.30000000000001</v>
      </c>
      <c r="X125">
        <v>126.2</v>
      </c>
      <c r="Y125">
        <v>116.3</v>
      </c>
      <c r="Z125">
        <v>124.1</v>
      </c>
      <c r="AA125">
        <v>130.19999999999999</v>
      </c>
      <c r="AB125">
        <v>119.9</v>
      </c>
      <c r="AC125">
        <v>123.3</v>
      </c>
      <c r="AD125">
        <v>131.9</v>
      </c>
    </row>
    <row r="126" spans="1:30" x14ac:dyDescent="0.25">
      <c r="A126" t="s">
        <v>33</v>
      </c>
      <c r="B126">
        <v>2016</v>
      </c>
      <c r="C126" t="s">
        <v>39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D126">
        <v>128.1</v>
      </c>
    </row>
    <row r="127" spans="1:30" x14ac:dyDescent="0.25">
      <c r="A127" t="s">
        <v>34</v>
      </c>
      <c r="B127">
        <v>2016</v>
      </c>
      <c r="C127" t="s">
        <v>39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v>130.1</v>
      </c>
    </row>
    <row r="128" spans="1:30" x14ac:dyDescent="0.25">
      <c r="A128" t="s">
        <v>30</v>
      </c>
      <c r="B128">
        <v>2016</v>
      </c>
      <c r="C128" t="s">
        <v>40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t="s">
        <v>32</v>
      </c>
      <c r="V128">
        <v>128.19999999999999</v>
      </c>
      <c r="W128">
        <v>130</v>
      </c>
      <c r="X128">
        <v>126.7</v>
      </c>
      <c r="Y128">
        <v>116.4</v>
      </c>
      <c r="Z128">
        <v>125.2</v>
      </c>
      <c r="AA128">
        <v>130.80000000000001</v>
      </c>
      <c r="AB128">
        <v>120.9</v>
      </c>
      <c r="AC128">
        <v>123.8</v>
      </c>
      <c r="AD128">
        <v>133</v>
      </c>
    </row>
    <row r="129" spans="1:30" x14ac:dyDescent="0.25">
      <c r="A129" t="s">
        <v>33</v>
      </c>
      <c r="B129">
        <v>2016</v>
      </c>
      <c r="C129" t="s">
        <v>40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D129">
        <v>129</v>
      </c>
    </row>
    <row r="130" spans="1:30" x14ac:dyDescent="0.25">
      <c r="A130" t="s">
        <v>34</v>
      </c>
      <c r="B130">
        <v>2016</v>
      </c>
      <c r="C130" t="s">
        <v>40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v>131.1</v>
      </c>
    </row>
    <row r="131" spans="1:30" x14ac:dyDescent="0.25">
      <c r="A131" t="s">
        <v>30</v>
      </c>
      <c r="B131">
        <v>2016</v>
      </c>
      <c r="C131" t="s">
        <v>41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t="s">
        <v>32</v>
      </c>
      <c r="V131">
        <v>129.1</v>
      </c>
      <c r="W131">
        <v>130.6</v>
      </c>
      <c r="X131">
        <v>127</v>
      </c>
      <c r="Y131">
        <v>116</v>
      </c>
      <c r="Z131">
        <v>125.5</v>
      </c>
      <c r="AA131">
        <v>131.9</v>
      </c>
      <c r="AB131">
        <v>122</v>
      </c>
      <c r="AC131">
        <v>124.2</v>
      </c>
      <c r="AD131">
        <v>133.5</v>
      </c>
    </row>
    <row r="132" spans="1:30" x14ac:dyDescent="0.25">
      <c r="A132" t="s">
        <v>33</v>
      </c>
      <c r="B132">
        <v>2016</v>
      </c>
      <c r="C132" t="s">
        <v>41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D132">
        <v>128.4</v>
      </c>
    </row>
    <row r="133" spans="1:30" x14ac:dyDescent="0.25">
      <c r="A133" t="s">
        <v>34</v>
      </c>
      <c r="B133">
        <v>2016</v>
      </c>
      <c r="C133" t="s">
        <v>41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v>131.1</v>
      </c>
    </row>
    <row r="134" spans="1:30" x14ac:dyDescent="0.25">
      <c r="A134" t="s">
        <v>30</v>
      </c>
      <c r="B134">
        <v>2016</v>
      </c>
      <c r="C134" t="s">
        <v>42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t="s">
        <v>32</v>
      </c>
      <c r="V134">
        <v>129.69999999999999</v>
      </c>
      <c r="W134">
        <v>131.1</v>
      </c>
      <c r="X134">
        <v>127.8</v>
      </c>
      <c r="Y134">
        <v>117</v>
      </c>
      <c r="Z134">
        <v>125.7</v>
      </c>
      <c r="AA134">
        <v>132.19999999999999</v>
      </c>
      <c r="AB134">
        <v>122.8</v>
      </c>
      <c r="AC134">
        <v>124.9</v>
      </c>
      <c r="AD134">
        <v>133.4</v>
      </c>
    </row>
    <row r="135" spans="1:30" x14ac:dyDescent="0.25">
      <c r="A135" t="s">
        <v>33</v>
      </c>
      <c r="B135">
        <v>2016</v>
      </c>
      <c r="C135" t="s">
        <v>42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D135">
        <v>128</v>
      </c>
    </row>
    <row r="136" spans="1:30" x14ac:dyDescent="0.25">
      <c r="A136" t="s">
        <v>34</v>
      </c>
      <c r="B136">
        <v>2016</v>
      </c>
      <c r="C136" t="s">
        <v>42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v>130.9</v>
      </c>
    </row>
    <row r="137" spans="1:30" x14ac:dyDescent="0.25">
      <c r="A137" t="s">
        <v>30</v>
      </c>
      <c r="B137">
        <v>2016</v>
      </c>
      <c r="C137" t="s">
        <v>43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t="s">
        <v>32</v>
      </c>
      <c r="V137">
        <v>129.80000000000001</v>
      </c>
      <c r="W137">
        <v>131.80000000000001</v>
      </c>
      <c r="X137">
        <v>128.69999999999999</v>
      </c>
      <c r="Y137">
        <v>117.8</v>
      </c>
      <c r="Z137">
        <v>126.5</v>
      </c>
      <c r="AA137">
        <v>133</v>
      </c>
      <c r="AB137">
        <v>123</v>
      </c>
      <c r="AC137">
        <v>125.7</v>
      </c>
      <c r="AD137">
        <v>133.80000000000001</v>
      </c>
    </row>
    <row r="138" spans="1:30" x14ac:dyDescent="0.25">
      <c r="A138" t="s">
        <v>33</v>
      </c>
      <c r="B138">
        <v>2016</v>
      </c>
      <c r="C138" t="s">
        <v>43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D138">
        <v>128.6</v>
      </c>
    </row>
    <row r="139" spans="1:30" x14ac:dyDescent="0.25">
      <c r="A139" t="s">
        <v>34</v>
      </c>
      <c r="B139">
        <v>2016</v>
      </c>
      <c r="C139" t="s">
        <v>43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v>131.4</v>
      </c>
    </row>
    <row r="140" spans="1:30" x14ac:dyDescent="0.25">
      <c r="A140" t="s">
        <v>30</v>
      </c>
      <c r="B140">
        <v>2016</v>
      </c>
      <c r="C140" t="s">
        <v>45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t="s">
        <v>32</v>
      </c>
      <c r="V140">
        <v>130.30000000000001</v>
      </c>
      <c r="W140">
        <v>132.1</v>
      </c>
      <c r="X140">
        <v>129.1</v>
      </c>
      <c r="Y140">
        <v>118.2</v>
      </c>
      <c r="Z140">
        <v>126.9</v>
      </c>
      <c r="AA140">
        <v>133.69999999999999</v>
      </c>
      <c r="AB140">
        <v>123.5</v>
      </c>
      <c r="AC140">
        <v>126.1</v>
      </c>
      <c r="AD140">
        <v>133.6</v>
      </c>
    </row>
    <row r="141" spans="1:30" x14ac:dyDescent="0.25">
      <c r="A141" t="s">
        <v>33</v>
      </c>
      <c r="B141">
        <v>2016</v>
      </c>
      <c r="C141" t="s">
        <v>45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D141">
        <v>128.5</v>
      </c>
    </row>
    <row r="142" spans="1:30" x14ac:dyDescent="0.25">
      <c r="A142" t="s">
        <v>34</v>
      </c>
      <c r="B142">
        <v>2016</v>
      </c>
      <c r="C142" t="s">
        <v>45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v>131.19999999999999</v>
      </c>
    </row>
    <row r="143" spans="1:30" x14ac:dyDescent="0.25">
      <c r="A143" t="s">
        <v>30</v>
      </c>
      <c r="B143">
        <v>2016</v>
      </c>
      <c r="C143" t="s">
        <v>46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t="s">
        <v>32</v>
      </c>
      <c r="V143">
        <v>132</v>
      </c>
      <c r="W143">
        <v>132.9</v>
      </c>
      <c r="X143">
        <v>129.69999999999999</v>
      </c>
      <c r="Y143">
        <v>118.6</v>
      </c>
      <c r="Z143">
        <v>127.3</v>
      </c>
      <c r="AA143">
        <v>134.19999999999999</v>
      </c>
      <c r="AB143">
        <v>121.9</v>
      </c>
      <c r="AC143">
        <v>126.3</v>
      </c>
      <c r="AD143">
        <v>132.80000000000001</v>
      </c>
    </row>
    <row r="144" spans="1:30" x14ac:dyDescent="0.25">
      <c r="A144" t="s">
        <v>33</v>
      </c>
      <c r="B144">
        <v>2016</v>
      </c>
      <c r="C144" t="s">
        <v>46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D144">
        <v>127.6</v>
      </c>
    </row>
    <row r="145" spans="1:30" x14ac:dyDescent="0.25">
      <c r="A145" t="s">
        <v>34</v>
      </c>
      <c r="B145">
        <v>2016</v>
      </c>
      <c r="C145" t="s">
        <v>46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v>130.4</v>
      </c>
    </row>
    <row r="146" spans="1:30" x14ac:dyDescent="0.25">
      <c r="A146" t="s">
        <v>30</v>
      </c>
      <c r="B146">
        <v>2017</v>
      </c>
      <c r="C146" t="s">
        <v>31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t="s">
        <v>32</v>
      </c>
      <c r="V146">
        <v>132.1</v>
      </c>
      <c r="W146">
        <v>133.19999999999999</v>
      </c>
      <c r="X146">
        <v>129.9</v>
      </c>
      <c r="Y146">
        <v>119.1</v>
      </c>
      <c r="Z146">
        <v>127</v>
      </c>
      <c r="AA146">
        <v>134.6</v>
      </c>
      <c r="AB146">
        <v>122.3</v>
      </c>
      <c r="AC146">
        <v>126.6</v>
      </c>
      <c r="AD146">
        <v>132.4</v>
      </c>
    </row>
    <row r="147" spans="1:30" x14ac:dyDescent="0.25">
      <c r="A147" t="s">
        <v>33</v>
      </c>
      <c r="B147">
        <v>2017</v>
      </c>
      <c r="C147" t="s">
        <v>31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D147">
        <v>127.8</v>
      </c>
    </row>
    <row r="148" spans="1:30" x14ac:dyDescent="0.25">
      <c r="A148" t="s">
        <v>34</v>
      </c>
      <c r="B148">
        <v>2017</v>
      </c>
      <c r="C148" t="s">
        <v>31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v>130.30000000000001</v>
      </c>
    </row>
    <row r="149" spans="1:30" x14ac:dyDescent="0.25">
      <c r="A149" t="s">
        <v>30</v>
      </c>
      <c r="B149">
        <v>2017</v>
      </c>
      <c r="C149" t="s">
        <v>35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t="s">
        <v>32</v>
      </c>
      <c r="V149">
        <v>133.19999999999999</v>
      </c>
      <c r="W149">
        <v>133.6</v>
      </c>
      <c r="X149">
        <v>130.1</v>
      </c>
      <c r="Y149">
        <v>119.5</v>
      </c>
      <c r="Z149">
        <v>127.7</v>
      </c>
      <c r="AA149">
        <v>134.9</v>
      </c>
      <c r="AB149">
        <v>123.2</v>
      </c>
      <c r="AC149">
        <v>127</v>
      </c>
      <c r="AD149">
        <v>132.6</v>
      </c>
    </row>
    <row r="150" spans="1:30" x14ac:dyDescent="0.25">
      <c r="A150" t="s">
        <v>33</v>
      </c>
      <c r="B150">
        <v>2017</v>
      </c>
      <c r="C150" t="s">
        <v>35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D150">
        <v>128.19999999999999</v>
      </c>
    </row>
    <row r="151" spans="1:30" x14ac:dyDescent="0.25">
      <c r="A151" t="s">
        <v>34</v>
      </c>
      <c r="B151">
        <v>2017</v>
      </c>
      <c r="C151" t="s">
        <v>35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v>130.6</v>
      </c>
    </row>
    <row r="152" spans="1:30" x14ac:dyDescent="0.25">
      <c r="A152" t="s">
        <v>30</v>
      </c>
      <c r="B152">
        <v>2017</v>
      </c>
      <c r="C152" t="s">
        <v>36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t="s">
        <v>32</v>
      </c>
      <c r="V152">
        <v>134.19999999999999</v>
      </c>
      <c r="W152">
        <v>134.1</v>
      </c>
      <c r="X152">
        <v>130.6</v>
      </c>
      <c r="Y152">
        <v>119.8</v>
      </c>
      <c r="Z152">
        <v>128.30000000000001</v>
      </c>
      <c r="AA152">
        <v>135.19999999999999</v>
      </c>
      <c r="AB152">
        <v>123.3</v>
      </c>
      <c r="AC152">
        <v>127.4</v>
      </c>
      <c r="AD152">
        <v>132.80000000000001</v>
      </c>
    </row>
    <row r="153" spans="1:30" x14ac:dyDescent="0.25">
      <c r="A153" t="s">
        <v>33</v>
      </c>
      <c r="B153">
        <v>2017</v>
      </c>
      <c r="C153" t="s">
        <v>36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D153">
        <v>128.69999999999999</v>
      </c>
    </row>
    <row r="154" spans="1:30" x14ac:dyDescent="0.25">
      <c r="A154" t="s">
        <v>34</v>
      </c>
      <c r="B154">
        <v>2017</v>
      </c>
      <c r="C154" t="s">
        <v>36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v>130.9</v>
      </c>
    </row>
    <row r="155" spans="1:30" x14ac:dyDescent="0.25">
      <c r="A155" t="s">
        <v>30</v>
      </c>
      <c r="B155">
        <v>2017</v>
      </c>
      <c r="C155" t="s">
        <v>37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t="s">
        <v>32</v>
      </c>
      <c r="V155">
        <v>135</v>
      </c>
      <c r="W155">
        <v>134.30000000000001</v>
      </c>
      <c r="X155">
        <v>131</v>
      </c>
      <c r="Y155">
        <v>119.2</v>
      </c>
      <c r="Z155">
        <v>128.30000000000001</v>
      </c>
      <c r="AA155">
        <v>135.69999999999999</v>
      </c>
      <c r="AB155">
        <v>123.7</v>
      </c>
      <c r="AC155">
        <v>127.5</v>
      </c>
      <c r="AD155">
        <v>132.9</v>
      </c>
    </row>
    <row r="156" spans="1:30" x14ac:dyDescent="0.25">
      <c r="A156" t="s">
        <v>33</v>
      </c>
      <c r="B156">
        <v>2017</v>
      </c>
      <c r="C156" t="s">
        <v>37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D156">
        <v>129.1</v>
      </c>
    </row>
    <row r="157" spans="1:30" x14ac:dyDescent="0.25">
      <c r="A157" t="s">
        <v>34</v>
      </c>
      <c r="B157">
        <v>2017</v>
      </c>
      <c r="C157" t="s">
        <v>37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v>131.1</v>
      </c>
    </row>
    <row r="158" spans="1:30" x14ac:dyDescent="0.25">
      <c r="A158" t="s">
        <v>30</v>
      </c>
      <c r="B158">
        <v>2017</v>
      </c>
      <c r="C158" t="s">
        <v>38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t="s">
        <v>32</v>
      </c>
      <c r="V158">
        <v>135</v>
      </c>
      <c r="W158">
        <v>134.9</v>
      </c>
      <c r="X158">
        <v>131.4</v>
      </c>
      <c r="Y158">
        <v>119.4</v>
      </c>
      <c r="Z158">
        <v>129.4</v>
      </c>
      <c r="AA158">
        <v>136.30000000000001</v>
      </c>
      <c r="AB158">
        <v>123.7</v>
      </c>
      <c r="AC158">
        <v>127.9</v>
      </c>
      <c r="AD158">
        <v>133.30000000000001</v>
      </c>
    </row>
    <row r="159" spans="1:30" x14ac:dyDescent="0.25">
      <c r="A159" t="s">
        <v>33</v>
      </c>
      <c r="B159">
        <v>2017</v>
      </c>
      <c r="C159" t="s">
        <v>38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D159">
        <v>129.30000000000001</v>
      </c>
    </row>
    <row r="160" spans="1:30" x14ac:dyDescent="0.25">
      <c r="A160" t="s">
        <v>34</v>
      </c>
      <c r="B160">
        <v>2017</v>
      </c>
      <c r="C160" t="s">
        <v>38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v>131.4</v>
      </c>
    </row>
    <row r="161" spans="1:30" x14ac:dyDescent="0.25">
      <c r="A161" t="s">
        <v>30</v>
      </c>
      <c r="B161">
        <v>2017</v>
      </c>
      <c r="C161" t="s">
        <v>39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t="s">
        <v>32</v>
      </c>
      <c r="V161">
        <v>134.80000000000001</v>
      </c>
      <c r="W161">
        <v>135.19999999999999</v>
      </c>
      <c r="X161">
        <v>131.30000000000001</v>
      </c>
      <c r="Y161">
        <v>119.4</v>
      </c>
      <c r="Z161">
        <v>129.80000000000001</v>
      </c>
      <c r="AA161">
        <v>136.9</v>
      </c>
      <c r="AB161">
        <v>124.1</v>
      </c>
      <c r="AC161">
        <v>128.1</v>
      </c>
      <c r="AD161">
        <v>133.9</v>
      </c>
    </row>
    <row r="162" spans="1:30" x14ac:dyDescent="0.25">
      <c r="A162" t="s">
        <v>33</v>
      </c>
      <c r="B162">
        <v>2017</v>
      </c>
      <c r="C162" t="s">
        <v>39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D162">
        <v>129.9</v>
      </c>
    </row>
    <row r="163" spans="1:30" x14ac:dyDescent="0.25">
      <c r="A163" t="s">
        <v>34</v>
      </c>
      <c r="B163">
        <v>2017</v>
      </c>
      <c r="C163" t="s">
        <v>39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v>132</v>
      </c>
    </row>
    <row r="164" spans="1:30" x14ac:dyDescent="0.25">
      <c r="A164" t="s">
        <v>30</v>
      </c>
      <c r="B164">
        <v>2017</v>
      </c>
      <c r="C164" t="s">
        <v>40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t="s">
        <v>32</v>
      </c>
      <c r="V164">
        <v>135.30000000000001</v>
      </c>
      <c r="W164">
        <v>136.1</v>
      </c>
      <c r="X164">
        <v>132.1</v>
      </c>
      <c r="Y164">
        <v>119.1</v>
      </c>
      <c r="Z164">
        <v>130.6</v>
      </c>
      <c r="AA164">
        <v>138.6</v>
      </c>
      <c r="AB164">
        <v>124.4</v>
      </c>
      <c r="AC164">
        <v>128.6</v>
      </c>
      <c r="AD164">
        <v>136.19999999999999</v>
      </c>
    </row>
    <row r="165" spans="1:30" x14ac:dyDescent="0.25">
      <c r="A165" t="s">
        <v>33</v>
      </c>
      <c r="B165">
        <v>2017</v>
      </c>
      <c r="C165" t="s">
        <v>40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D165">
        <v>131.80000000000001</v>
      </c>
    </row>
    <row r="166" spans="1:30" x14ac:dyDescent="0.25">
      <c r="A166" t="s">
        <v>34</v>
      </c>
      <c r="B166">
        <v>2017</v>
      </c>
      <c r="C166" t="s">
        <v>40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v>134.19999999999999</v>
      </c>
    </row>
    <row r="167" spans="1:30" x14ac:dyDescent="0.25">
      <c r="A167" t="s">
        <v>30</v>
      </c>
      <c r="B167">
        <v>2017</v>
      </c>
      <c r="C167" t="s">
        <v>41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t="s">
        <v>32</v>
      </c>
      <c r="V167">
        <v>136.4</v>
      </c>
      <c r="W167">
        <v>137.30000000000001</v>
      </c>
      <c r="X167">
        <v>133</v>
      </c>
      <c r="Y167">
        <v>120.3</v>
      </c>
      <c r="Z167">
        <v>131.5</v>
      </c>
      <c r="AA167">
        <v>140.19999999999999</v>
      </c>
      <c r="AB167">
        <v>125.4</v>
      </c>
      <c r="AC167">
        <v>129.69999999999999</v>
      </c>
      <c r="AD167">
        <v>137.80000000000001</v>
      </c>
    </row>
    <row r="168" spans="1:30" x14ac:dyDescent="0.25">
      <c r="A168" t="s">
        <v>33</v>
      </c>
      <c r="B168">
        <v>2017</v>
      </c>
      <c r="C168" t="s">
        <v>41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D168">
        <v>132.69999999999999</v>
      </c>
    </row>
    <row r="169" spans="1:30" x14ac:dyDescent="0.25">
      <c r="A169" t="s">
        <v>34</v>
      </c>
      <c r="B169">
        <v>2017</v>
      </c>
      <c r="C169" t="s">
        <v>41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v>135.4</v>
      </c>
    </row>
    <row r="170" spans="1:30" x14ac:dyDescent="0.25">
      <c r="A170" t="s">
        <v>30</v>
      </c>
      <c r="B170">
        <v>2017</v>
      </c>
      <c r="C170" t="s">
        <v>42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t="s">
        <v>32</v>
      </c>
      <c r="V170">
        <v>137.4</v>
      </c>
      <c r="W170">
        <v>137.9</v>
      </c>
      <c r="X170">
        <v>133.4</v>
      </c>
      <c r="Y170">
        <v>121.2</v>
      </c>
      <c r="Z170">
        <v>132.30000000000001</v>
      </c>
      <c r="AA170">
        <v>139.6</v>
      </c>
      <c r="AB170">
        <v>126.7</v>
      </c>
      <c r="AC170">
        <v>130.30000000000001</v>
      </c>
      <c r="AD170">
        <v>137.6</v>
      </c>
    </row>
    <row r="171" spans="1:30" x14ac:dyDescent="0.25">
      <c r="A171" t="s">
        <v>33</v>
      </c>
      <c r="B171">
        <v>2017</v>
      </c>
      <c r="C171" t="s">
        <v>42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D171">
        <v>132.4</v>
      </c>
    </row>
    <row r="172" spans="1:30" x14ac:dyDescent="0.25">
      <c r="A172" t="s">
        <v>34</v>
      </c>
      <c r="B172">
        <v>2017</v>
      </c>
      <c r="C172" t="s">
        <v>42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v>135.19999999999999</v>
      </c>
    </row>
    <row r="173" spans="1:30" x14ac:dyDescent="0.25">
      <c r="A173" t="s">
        <v>30</v>
      </c>
      <c r="B173">
        <v>2017</v>
      </c>
      <c r="C173" t="s">
        <v>43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t="s">
        <v>32</v>
      </c>
      <c r="V173">
        <v>138.1</v>
      </c>
      <c r="W173">
        <v>138.4</v>
      </c>
      <c r="X173">
        <v>134.19999999999999</v>
      </c>
      <c r="Y173">
        <v>121</v>
      </c>
      <c r="Z173">
        <v>133</v>
      </c>
      <c r="AA173">
        <v>140.1</v>
      </c>
      <c r="AB173">
        <v>127.4</v>
      </c>
      <c r="AC173">
        <v>130.69999999999999</v>
      </c>
      <c r="AD173">
        <v>138.30000000000001</v>
      </c>
    </row>
    <row r="174" spans="1:30" x14ac:dyDescent="0.25">
      <c r="A174" t="s">
        <v>33</v>
      </c>
      <c r="B174">
        <v>2017</v>
      </c>
      <c r="C174" t="s">
        <v>43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D174">
        <v>133.5</v>
      </c>
    </row>
    <row r="175" spans="1:30" x14ac:dyDescent="0.25">
      <c r="A175" t="s">
        <v>34</v>
      </c>
      <c r="B175">
        <v>2017</v>
      </c>
      <c r="C175" t="s">
        <v>43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v>136.1</v>
      </c>
    </row>
    <row r="176" spans="1:30" x14ac:dyDescent="0.25">
      <c r="A176" t="s">
        <v>30</v>
      </c>
      <c r="B176">
        <v>2017</v>
      </c>
      <c r="C176" t="s">
        <v>45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t="s">
        <v>32</v>
      </c>
      <c r="V176">
        <v>141.1</v>
      </c>
      <c r="W176">
        <v>139.4</v>
      </c>
      <c r="X176">
        <v>135.80000000000001</v>
      </c>
      <c r="Y176">
        <v>121.6</v>
      </c>
      <c r="Z176">
        <v>133.69999999999999</v>
      </c>
      <c r="AA176">
        <v>141.5</v>
      </c>
      <c r="AB176">
        <v>128.1</v>
      </c>
      <c r="AC176">
        <v>131.69999999999999</v>
      </c>
      <c r="AD176">
        <v>140</v>
      </c>
    </row>
    <row r="177" spans="1:30" x14ac:dyDescent="0.25">
      <c r="A177" t="s">
        <v>33</v>
      </c>
      <c r="B177">
        <v>2017</v>
      </c>
      <c r="C177" t="s">
        <v>45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D177">
        <v>134.80000000000001</v>
      </c>
    </row>
    <row r="178" spans="1:30" x14ac:dyDescent="0.25">
      <c r="A178" t="s">
        <v>34</v>
      </c>
      <c r="B178">
        <v>2017</v>
      </c>
      <c r="C178" t="s">
        <v>45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v>137.6</v>
      </c>
    </row>
    <row r="179" spans="1:30" x14ac:dyDescent="0.25">
      <c r="A179" t="s">
        <v>30</v>
      </c>
      <c r="B179">
        <v>2017</v>
      </c>
      <c r="C179" t="s">
        <v>46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t="s">
        <v>32</v>
      </c>
      <c r="V179">
        <v>142.6</v>
      </c>
      <c r="W179">
        <v>139.5</v>
      </c>
      <c r="X179">
        <v>136.1</v>
      </c>
      <c r="Y179">
        <v>122</v>
      </c>
      <c r="Z179">
        <v>133.4</v>
      </c>
      <c r="AA179">
        <v>141.1</v>
      </c>
      <c r="AB179">
        <v>127.8</v>
      </c>
      <c r="AC179">
        <v>131.9</v>
      </c>
      <c r="AD179">
        <v>139.80000000000001</v>
      </c>
    </row>
    <row r="180" spans="1:30" x14ac:dyDescent="0.25">
      <c r="A180" t="s">
        <v>33</v>
      </c>
      <c r="B180">
        <v>2017</v>
      </c>
      <c r="C180" t="s">
        <v>46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D180">
        <v>134.1</v>
      </c>
    </row>
    <row r="181" spans="1:30" x14ac:dyDescent="0.25">
      <c r="A181" t="s">
        <v>34</v>
      </c>
      <c r="B181">
        <v>2017</v>
      </c>
      <c r="C181" t="s">
        <v>46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v>137.19999999999999</v>
      </c>
    </row>
    <row r="182" spans="1:30" x14ac:dyDescent="0.25">
      <c r="A182" t="s">
        <v>30</v>
      </c>
      <c r="B182">
        <v>2018</v>
      </c>
      <c r="C182" t="s">
        <v>31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t="s">
        <v>32</v>
      </c>
      <c r="V182">
        <v>142.30000000000001</v>
      </c>
      <c r="W182">
        <v>139.80000000000001</v>
      </c>
      <c r="X182">
        <v>136</v>
      </c>
      <c r="Y182">
        <v>122.7</v>
      </c>
      <c r="Z182">
        <v>134.30000000000001</v>
      </c>
      <c r="AA182">
        <v>141.6</v>
      </c>
      <c r="AB182">
        <v>128.6</v>
      </c>
      <c r="AC182">
        <v>132.30000000000001</v>
      </c>
      <c r="AD182">
        <v>139.30000000000001</v>
      </c>
    </row>
    <row r="183" spans="1:30" x14ac:dyDescent="0.25">
      <c r="A183" t="s">
        <v>33</v>
      </c>
      <c r="B183">
        <v>2018</v>
      </c>
      <c r="C183" t="s">
        <v>31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D183">
        <v>134.1</v>
      </c>
    </row>
    <row r="184" spans="1:30" x14ac:dyDescent="0.25">
      <c r="A184" t="s">
        <v>34</v>
      </c>
      <c r="B184">
        <v>2018</v>
      </c>
      <c r="C184" t="s">
        <v>31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v>136.9</v>
      </c>
    </row>
    <row r="185" spans="1:30" x14ac:dyDescent="0.25">
      <c r="A185" t="s">
        <v>30</v>
      </c>
      <c r="B185">
        <v>2018</v>
      </c>
      <c r="C185" t="s">
        <v>35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t="s">
        <v>32</v>
      </c>
      <c r="V185">
        <v>142.4</v>
      </c>
      <c r="W185">
        <v>139.9</v>
      </c>
      <c r="X185">
        <v>136.19999999999999</v>
      </c>
      <c r="Y185">
        <v>123.3</v>
      </c>
      <c r="Z185">
        <v>134.30000000000001</v>
      </c>
      <c r="AA185">
        <v>141.5</v>
      </c>
      <c r="AB185">
        <v>128.80000000000001</v>
      </c>
      <c r="AC185">
        <v>132.5</v>
      </c>
      <c r="AD185">
        <v>138.5</v>
      </c>
    </row>
    <row r="186" spans="1:30" x14ac:dyDescent="0.25">
      <c r="A186" t="s">
        <v>33</v>
      </c>
      <c r="B186">
        <v>2018</v>
      </c>
      <c r="C186" t="s">
        <v>35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D186">
        <v>134</v>
      </c>
    </row>
    <row r="187" spans="1:30" x14ac:dyDescent="0.25">
      <c r="A187" t="s">
        <v>34</v>
      </c>
      <c r="B187">
        <v>2018</v>
      </c>
      <c r="C187" t="s">
        <v>35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v>136.4</v>
      </c>
    </row>
    <row r="188" spans="1:30" x14ac:dyDescent="0.25">
      <c r="A188" t="s">
        <v>30</v>
      </c>
      <c r="B188">
        <v>2018</v>
      </c>
      <c r="C188" t="s">
        <v>36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t="s">
        <v>32</v>
      </c>
      <c r="V188">
        <v>142.6</v>
      </c>
      <c r="W188">
        <v>139.9</v>
      </c>
      <c r="X188">
        <v>136.69999999999999</v>
      </c>
      <c r="Y188">
        <v>124.6</v>
      </c>
      <c r="Z188">
        <v>135.1</v>
      </c>
      <c r="AA188">
        <v>142.69999999999999</v>
      </c>
      <c r="AB188">
        <v>129.30000000000001</v>
      </c>
      <c r="AC188">
        <v>133.30000000000001</v>
      </c>
      <c r="AD188">
        <v>138.69999999999999</v>
      </c>
    </row>
    <row r="189" spans="1:30" x14ac:dyDescent="0.25">
      <c r="A189" t="s">
        <v>33</v>
      </c>
      <c r="B189">
        <v>2018</v>
      </c>
      <c r="C189" t="s">
        <v>36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D189">
        <v>134</v>
      </c>
    </row>
    <row r="190" spans="1:30" x14ac:dyDescent="0.25">
      <c r="A190" t="s">
        <v>34</v>
      </c>
      <c r="B190">
        <v>2018</v>
      </c>
      <c r="C190" t="s">
        <v>36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v>136.5</v>
      </c>
    </row>
    <row r="191" spans="1:30" x14ac:dyDescent="0.25">
      <c r="A191" t="s">
        <v>30</v>
      </c>
      <c r="B191">
        <v>2018</v>
      </c>
      <c r="C191" t="s">
        <v>37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t="s">
        <v>32</v>
      </c>
      <c r="V191">
        <v>143.80000000000001</v>
      </c>
      <c r="W191">
        <v>140.9</v>
      </c>
      <c r="X191">
        <v>137.6</v>
      </c>
      <c r="Y191">
        <v>125.3</v>
      </c>
      <c r="Z191">
        <v>136</v>
      </c>
      <c r="AA191">
        <v>143.69999999999999</v>
      </c>
      <c r="AB191">
        <v>130.4</v>
      </c>
      <c r="AC191">
        <v>134.19999999999999</v>
      </c>
      <c r="AD191">
        <v>139.1</v>
      </c>
    </row>
    <row r="192" spans="1:30" x14ac:dyDescent="0.25">
      <c r="A192" t="s">
        <v>33</v>
      </c>
      <c r="B192">
        <v>2018</v>
      </c>
      <c r="C192" t="s">
        <v>37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D192">
        <v>134.80000000000001</v>
      </c>
    </row>
    <row r="193" spans="1:30" x14ac:dyDescent="0.25">
      <c r="A193" t="s">
        <v>34</v>
      </c>
      <c r="B193">
        <v>2018</v>
      </c>
      <c r="C193" t="s">
        <v>37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v>137.1</v>
      </c>
    </row>
    <row r="194" spans="1:30" x14ac:dyDescent="0.25">
      <c r="A194" t="s">
        <v>30</v>
      </c>
      <c r="B194">
        <v>2018</v>
      </c>
      <c r="C194" t="s">
        <v>38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t="s">
        <v>32</v>
      </c>
      <c r="V194">
        <v>144.30000000000001</v>
      </c>
      <c r="W194">
        <v>141.80000000000001</v>
      </c>
      <c r="X194">
        <v>138.4</v>
      </c>
      <c r="Y194">
        <v>126.4</v>
      </c>
      <c r="Z194">
        <v>136.80000000000001</v>
      </c>
      <c r="AA194">
        <v>144.4</v>
      </c>
      <c r="AB194">
        <v>131.19999999999999</v>
      </c>
      <c r="AC194">
        <v>135.1</v>
      </c>
      <c r="AD194">
        <v>139.80000000000001</v>
      </c>
    </row>
    <row r="195" spans="1:30" x14ac:dyDescent="0.25">
      <c r="A195" t="s">
        <v>33</v>
      </c>
      <c r="B195">
        <v>2018</v>
      </c>
      <c r="C195" t="s">
        <v>38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D195">
        <v>135.4</v>
      </c>
    </row>
    <row r="196" spans="1:30" x14ac:dyDescent="0.25">
      <c r="A196" t="s">
        <v>34</v>
      </c>
      <c r="B196">
        <v>2018</v>
      </c>
      <c r="C196" t="s">
        <v>38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v>137.80000000000001</v>
      </c>
    </row>
    <row r="197" spans="1:30" x14ac:dyDescent="0.25">
      <c r="A197" t="s">
        <v>30</v>
      </c>
      <c r="B197">
        <v>2018</v>
      </c>
      <c r="C197" t="s">
        <v>39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t="s">
        <v>32</v>
      </c>
      <c r="V197">
        <v>145.1</v>
      </c>
      <c r="W197">
        <v>142.19999999999999</v>
      </c>
      <c r="X197">
        <v>138.4</v>
      </c>
      <c r="Y197">
        <v>127.4</v>
      </c>
      <c r="Z197">
        <v>137.80000000000001</v>
      </c>
      <c r="AA197">
        <v>145.1</v>
      </c>
      <c r="AB197">
        <v>131.4</v>
      </c>
      <c r="AC197">
        <v>135.6</v>
      </c>
      <c r="AD197">
        <v>140.5</v>
      </c>
    </row>
    <row r="198" spans="1:30" x14ac:dyDescent="0.25">
      <c r="A198" t="s">
        <v>33</v>
      </c>
      <c r="B198">
        <v>2018</v>
      </c>
      <c r="C198" t="s">
        <v>39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D198">
        <v>136.19999999999999</v>
      </c>
    </row>
    <row r="199" spans="1:30" x14ac:dyDescent="0.25">
      <c r="A199" t="s">
        <v>34</v>
      </c>
      <c r="B199">
        <v>2018</v>
      </c>
      <c r="C199" t="s">
        <v>39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v>138.5</v>
      </c>
    </row>
    <row r="200" spans="1:30" x14ac:dyDescent="0.25">
      <c r="A200" t="s">
        <v>30</v>
      </c>
      <c r="B200">
        <v>2018</v>
      </c>
      <c r="C200" t="s">
        <v>40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t="s">
        <v>32</v>
      </c>
      <c r="V200">
        <v>146.80000000000001</v>
      </c>
      <c r="W200">
        <v>143.1</v>
      </c>
      <c r="X200">
        <v>139</v>
      </c>
      <c r="Y200">
        <v>127.5</v>
      </c>
      <c r="Z200">
        <v>138.4</v>
      </c>
      <c r="AA200">
        <v>145.80000000000001</v>
      </c>
      <c r="AB200">
        <v>131.4</v>
      </c>
      <c r="AC200">
        <v>136</v>
      </c>
      <c r="AD200">
        <v>141.80000000000001</v>
      </c>
    </row>
    <row r="201" spans="1:30" x14ac:dyDescent="0.25">
      <c r="A201" t="s">
        <v>33</v>
      </c>
      <c r="B201">
        <v>2018</v>
      </c>
      <c r="C201" t="s">
        <v>40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D201">
        <v>137.5</v>
      </c>
    </row>
    <row r="202" spans="1:30" x14ac:dyDescent="0.25">
      <c r="A202" t="s">
        <v>34</v>
      </c>
      <c r="B202">
        <v>2018</v>
      </c>
      <c r="C202" t="s">
        <v>40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v>139.80000000000001</v>
      </c>
    </row>
    <row r="203" spans="1:30" x14ac:dyDescent="0.25">
      <c r="A203" t="s">
        <v>30</v>
      </c>
      <c r="B203">
        <v>2018</v>
      </c>
      <c r="C203" t="s">
        <v>41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t="s">
        <v>32</v>
      </c>
      <c r="V203">
        <v>147.69999999999999</v>
      </c>
      <c r="W203">
        <v>143.80000000000001</v>
      </c>
      <c r="X203">
        <v>139.4</v>
      </c>
      <c r="Y203">
        <v>128.30000000000001</v>
      </c>
      <c r="Z203">
        <v>138.6</v>
      </c>
      <c r="AA203">
        <v>146.9</v>
      </c>
      <c r="AB203">
        <v>131.30000000000001</v>
      </c>
      <c r="AC203">
        <v>136.6</v>
      </c>
      <c r="AD203">
        <v>142.5</v>
      </c>
    </row>
    <row r="204" spans="1:30" x14ac:dyDescent="0.25">
      <c r="A204" t="s">
        <v>33</v>
      </c>
      <c r="B204">
        <v>2018</v>
      </c>
      <c r="C204" t="s">
        <v>41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D204">
        <v>138</v>
      </c>
    </row>
    <row r="205" spans="1:30" x14ac:dyDescent="0.25">
      <c r="A205" t="s">
        <v>34</v>
      </c>
      <c r="B205">
        <v>2018</v>
      </c>
      <c r="C205" t="s">
        <v>41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v>140.4</v>
      </c>
    </row>
    <row r="206" spans="1:30" x14ac:dyDescent="0.25">
      <c r="A206" t="s">
        <v>30</v>
      </c>
      <c r="B206">
        <v>2018</v>
      </c>
      <c r="C206" t="s">
        <v>42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t="s">
        <v>32</v>
      </c>
      <c r="V206">
        <v>149</v>
      </c>
      <c r="W206">
        <v>144</v>
      </c>
      <c r="X206">
        <v>140</v>
      </c>
      <c r="Y206">
        <v>129.9</v>
      </c>
      <c r="Z206">
        <v>140</v>
      </c>
      <c r="AA206">
        <v>147.6</v>
      </c>
      <c r="AB206">
        <v>132</v>
      </c>
      <c r="AC206">
        <v>137.4</v>
      </c>
      <c r="AD206">
        <v>142.1</v>
      </c>
    </row>
    <row r="207" spans="1:30" x14ac:dyDescent="0.25">
      <c r="A207" t="s">
        <v>33</v>
      </c>
      <c r="B207">
        <v>2018</v>
      </c>
      <c r="C207" t="s">
        <v>42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D207">
        <v>138.1</v>
      </c>
    </row>
    <row r="208" spans="1:30" x14ac:dyDescent="0.25">
      <c r="A208" t="s">
        <v>34</v>
      </c>
      <c r="B208">
        <v>2018</v>
      </c>
      <c r="C208" t="s">
        <v>42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v>140.19999999999999</v>
      </c>
    </row>
    <row r="209" spans="1:30" x14ac:dyDescent="0.25">
      <c r="A209" t="s">
        <v>30</v>
      </c>
      <c r="B209">
        <v>2018</v>
      </c>
      <c r="C209" t="s">
        <v>43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t="s">
        <v>32</v>
      </c>
      <c r="V209">
        <v>149.69999999999999</v>
      </c>
      <c r="W209">
        <v>147.5</v>
      </c>
      <c r="X209">
        <v>144.80000000000001</v>
      </c>
      <c r="Y209">
        <v>130.80000000000001</v>
      </c>
      <c r="Z209">
        <v>140.1</v>
      </c>
      <c r="AA209">
        <v>148</v>
      </c>
      <c r="AB209">
        <v>134.4</v>
      </c>
      <c r="AC209">
        <v>139.80000000000001</v>
      </c>
      <c r="AD209">
        <v>142.19999999999999</v>
      </c>
    </row>
    <row r="210" spans="1:30" x14ac:dyDescent="0.25">
      <c r="A210" t="s">
        <v>33</v>
      </c>
      <c r="B210">
        <v>2018</v>
      </c>
      <c r="C210" t="s">
        <v>43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D210">
        <v>138.9</v>
      </c>
    </row>
    <row r="211" spans="1:30" x14ac:dyDescent="0.25">
      <c r="A211" t="s">
        <v>34</v>
      </c>
      <c r="B211">
        <v>2018</v>
      </c>
      <c r="C211" t="s">
        <v>43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v>140.80000000000001</v>
      </c>
    </row>
    <row r="212" spans="1:30" x14ac:dyDescent="0.25">
      <c r="A212" t="s">
        <v>30</v>
      </c>
      <c r="B212">
        <v>2018</v>
      </c>
      <c r="C212" t="s">
        <v>45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t="s">
        <v>32</v>
      </c>
      <c r="V212">
        <v>150.30000000000001</v>
      </c>
      <c r="W212">
        <v>148</v>
      </c>
      <c r="X212">
        <v>145.4</v>
      </c>
      <c r="Y212">
        <v>130.30000000000001</v>
      </c>
      <c r="Z212">
        <v>143.1</v>
      </c>
      <c r="AA212">
        <v>150.19999999999999</v>
      </c>
      <c r="AB212">
        <v>133.1</v>
      </c>
      <c r="AC212">
        <v>140.1</v>
      </c>
      <c r="AD212">
        <v>142.4</v>
      </c>
    </row>
    <row r="213" spans="1:30" x14ac:dyDescent="0.25">
      <c r="A213" t="s">
        <v>33</v>
      </c>
      <c r="B213">
        <v>2018</v>
      </c>
      <c r="C213" t="s">
        <v>45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D213">
        <v>139</v>
      </c>
    </row>
    <row r="214" spans="1:30" x14ac:dyDescent="0.25">
      <c r="A214" t="s">
        <v>34</v>
      </c>
      <c r="B214">
        <v>2018</v>
      </c>
      <c r="C214" t="s">
        <v>45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v>140.80000000000001</v>
      </c>
    </row>
    <row r="215" spans="1:30" x14ac:dyDescent="0.25">
      <c r="A215" t="s">
        <v>30</v>
      </c>
      <c r="B215">
        <v>2018</v>
      </c>
      <c r="C215" t="s">
        <v>46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t="s">
        <v>32</v>
      </c>
      <c r="V215">
        <v>149</v>
      </c>
      <c r="W215">
        <v>149.5</v>
      </c>
      <c r="X215">
        <v>149.6</v>
      </c>
      <c r="Y215">
        <v>128.9</v>
      </c>
      <c r="Z215">
        <v>143.30000000000001</v>
      </c>
      <c r="AA215">
        <v>155.1</v>
      </c>
      <c r="AB215">
        <v>133.19999999999999</v>
      </c>
      <c r="AC215">
        <v>141.6</v>
      </c>
      <c r="AD215">
        <v>141.9</v>
      </c>
    </row>
    <row r="216" spans="1:30" x14ac:dyDescent="0.25">
      <c r="A216" t="s">
        <v>33</v>
      </c>
      <c r="B216">
        <v>2018</v>
      </c>
      <c r="C216" t="s">
        <v>46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D216">
        <v>138</v>
      </c>
    </row>
    <row r="217" spans="1:30" x14ac:dyDescent="0.25">
      <c r="A217" t="s">
        <v>34</v>
      </c>
      <c r="B217">
        <v>2018</v>
      </c>
      <c r="C217" t="s">
        <v>46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v>140.1</v>
      </c>
    </row>
    <row r="218" spans="1:30" x14ac:dyDescent="0.25">
      <c r="A218" t="s">
        <v>30</v>
      </c>
      <c r="B218">
        <v>2019</v>
      </c>
      <c r="C218" t="s">
        <v>31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t="s">
        <v>32</v>
      </c>
      <c r="V218">
        <v>146.19999999999999</v>
      </c>
      <c r="W218">
        <v>150.1</v>
      </c>
      <c r="X218">
        <v>149.6</v>
      </c>
      <c r="Y218">
        <v>128.6</v>
      </c>
      <c r="Z218">
        <v>142.9</v>
      </c>
      <c r="AA218">
        <v>155.19999999999999</v>
      </c>
      <c r="AB218">
        <v>133.5</v>
      </c>
      <c r="AC218">
        <v>141.69999999999999</v>
      </c>
      <c r="AD218">
        <v>141</v>
      </c>
    </row>
    <row r="219" spans="1:30" x14ac:dyDescent="0.25">
      <c r="A219" t="s">
        <v>33</v>
      </c>
      <c r="B219">
        <v>2019</v>
      </c>
      <c r="C219" t="s">
        <v>31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D219">
        <v>138</v>
      </c>
    </row>
    <row r="220" spans="1:30" x14ac:dyDescent="0.25">
      <c r="A220" t="s">
        <v>34</v>
      </c>
      <c r="B220">
        <v>2019</v>
      </c>
      <c r="C220" t="s">
        <v>31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v>139.6</v>
      </c>
    </row>
    <row r="221" spans="1:30" x14ac:dyDescent="0.25">
      <c r="A221" t="s">
        <v>30</v>
      </c>
      <c r="B221">
        <v>2019</v>
      </c>
      <c r="C221" t="s">
        <v>35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t="s">
        <v>32</v>
      </c>
      <c r="V221">
        <v>145.30000000000001</v>
      </c>
      <c r="W221">
        <v>150.1</v>
      </c>
      <c r="X221">
        <v>149.9</v>
      </c>
      <c r="Y221">
        <v>129.19999999999999</v>
      </c>
      <c r="Z221">
        <v>143.4</v>
      </c>
      <c r="AA221">
        <v>155.5</v>
      </c>
      <c r="AB221">
        <v>134.9</v>
      </c>
      <c r="AC221">
        <v>142.19999999999999</v>
      </c>
      <c r="AD221">
        <v>141</v>
      </c>
    </row>
    <row r="222" spans="1:30" x14ac:dyDescent="0.25">
      <c r="A222" t="s">
        <v>33</v>
      </c>
      <c r="B222">
        <v>2019</v>
      </c>
      <c r="C222" t="s">
        <v>35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D222">
        <v>138.6</v>
      </c>
    </row>
    <row r="223" spans="1:30" x14ac:dyDescent="0.25">
      <c r="A223" t="s">
        <v>34</v>
      </c>
      <c r="B223">
        <v>2019</v>
      </c>
      <c r="C223" t="s">
        <v>35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v>139.9</v>
      </c>
    </row>
    <row r="224" spans="1:30" x14ac:dyDescent="0.25">
      <c r="A224" t="s">
        <v>30</v>
      </c>
      <c r="B224">
        <v>2019</v>
      </c>
      <c r="C224" t="s">
        <v>36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t="s">
        <v>32</v>
      </c>
      <c r="V224">
        <v>146.4</v>
      </c>
      <c r="W224">
        <v>150</v>
      </c>
      <c r="X224">
        <v>150.4</v>
      </c>
      <c r="Y224">
        <v>129.9</v>
      </c>
      <c r="Z224">
        <v>143.80000000000001</v>
      </c>
      <c r="AA224">
        <v>155.5</v>
      </c>
      <c r="AB224">
        <v>134</v>
      </c>
      <c r="AC224">
        <v>142.4</v>
      </c>
      <c r="AD224">
        <v>141.19999999999999</v>
      </c>
    </row>
    <row r="225" spans="1:30" x14ac:dyDescent="0.25">
      <c r="A225" t="s">
        <v>33</v>
      </c>
      <c r="B225">
        <v>2019</v>
      </c>
      <c r="C225" t="s">
        <v>36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D225">
        <v>139.5</v>
      </c>
    </row>
    <row r="226" spans="1:30" x14ac:dyDescent="0.25">
      <c r="A226" t="s">
        <v>34</v>
      </c>
      <c r="B226">
        <v>2019</v>
      </c>
      <c r="C226" t="s">
        <v>36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v>140.4</v>
      </c>
    </row>
    <row r="227" spans="1:30" x14ac:dyDescent="0.25">
      <c r="A227" t="s">
        <v>30</v>
      </c>
      <c r="B227">
        <v>2019</v>
      </c>
      <c r="C227" t="s">
        <v>38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t="s">
        <v>32</v>
      </c>
      <c r="V227">
        <v>146.9</v>
      </c>
      <c r="W227">
        <v>149.5</v>
      </c>
      <c r="X227">
        <v>151.30000000000001</v>
      </c>
      <c r="Y227">
        <v>130.19999999999999</v>
      </c>
      <c r="Z227">
        <v>145.9</v>
      </c>
      <c r="AA227">
        <v>156.69999999999999</v>
      </c>
      <c r="AB227">
        <v>133.9</v>
      </c>
      <c r="AC227">
        <v>142.9</v>
      </c>
      <c r="AD227">
        <v>142.4</v>
      </c>
    </row>
    <row r="228" spans="1:30" x14ac:dyDescent="0.25">
      <c r="A228" t="s">
        <v>33</v>
      </c>
      <c r="B228">
        <v>2019</v>
      </c>
      <c r="C228" t="s">
        <v>38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D228">
        <v>141.5</v>
      </c>
    </row>
    <row r="229" spans="1:30" x14ac:dyDescent="0.25">
      <c r="A229" t="s">
        <v>34</v>
      </c>
      <c r="B229">
        <v>2019</v>
      </c>
      <c r="C229" t="s">
        <v>38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v>142</v>
      </c>
    </row>
    <row r="230" spans="1:30" x14ac:dyDescent="0.25">
      <c r="A230" t="s">
        <v>30</v>
      </c>
      <c r="B230">
        <v>2019</v>
      </c>
      <c r="C230" t="s">
        <v>39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t="s">
        <v>32</v>
      </c>
      <c r="V230">
        <v>147.80000000000001</v>
      </c>
      <c r="W230">
        <v>149.6</v>
      </c>
      <c r="X230">
        <v>151.69999999999999</v>
      </c>
      <c r="Y230">
        <v>130.19999999999999</v>
      </c>
      <c r="Z230">
        <v>146.4</v>
      </c>
      <c r="AA230">
        <v>157.69999999999999</v>
      </c>
      <c r="AB230">
        <v>134.80000000000001</v>
      </c>
      <c r="AC230">
        <v>143.30000000000001</v>
      </c>
      <c r="AD230">
        <v>143.6</v>
      </c>
    </row>
    <row r="231" spans="1:30" x14ac:dyDescent="0.25">
      <c r="A231" t="s">
        <v>33</v>
      </c>
      <c r="B231">
        <v>2019</v>
      </c>
      <c r="C231" t="s">
        <v>39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D231">
        <v>142.1</v>
      </c>
    </row>
    <row r="232" spans="1:30" x14ac:dyDescent="0.25">
      <c r="A232" t="s">
        <v>34</v>
      </c>
      <c r="B232">
        <v>2019</v>
      </c>
      <c r="C232" t="s">
        <v>39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v>142.9</v>
      </c>
    </row>
    <row r="233" spans="1:30" x14ac:dyDescent="0.25">
      <c r="A233" t="s">
        <v>30</v>
      </c>
      <c r="B233">
        <v>2019</v>
      </c>
      <c r="C233" t="s">
        <v>40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t="s">
        <v>32</v>
      </c>
      <c r="V233">
        <v>146.80000000000001</v>
      </c>
      <c r="W233">
        <v>150</v>
      </c>
      <c r="X233">
        <v>152.19999999999999</v>
      </c>
      <c r="Y233">
        <v>131.19999999999999</v>
      </c>
      <c r="Z233">
        <v>147.5</v>
      </c>
      <c r="AA233">
        <v>159.1</v>
      </c>
      <c r="AB233">
        <v>136.1</v>
      </c>
      <c r="AC233">
        <v>144.19999999999999</v>
      </c>
      <c r="AD233">
        <v>144.9</v>
      </c>
    </row>
    <row r="234" spans="1:30" x14ac:dyDescent="0.25">
      <c r="A234" t="s">
        <v>33</v>
      </c>
      <c r="B234">
        <v>2019</v>
      </c>
      <c r="C234" t="s">
        <v>40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D234">
        <v>143.30000000000001</v>
      </c>
    </row>
    <row r="235" spans="1:30" x14ac:dyDescent="0.25">
      <c r="A235" t="s">
        <v>34</v>
      </c>
      <c r="B235">
        <v>2019</v>
      </c>
      <c r="C235" t="s">
        <v>40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v>144.19999999999999</v>
      </c>
    </row>
    <row r="236" spans="1:30" x14ac:dyDescent="0.25">
      <c r="A236" t="s">
        <v>30</v>
      </c>
      <c r="B236">
        <v>2019</v>
      </c>
      <c r="C236" t="s">
        <v>41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t="s">
        <v>32</v>
      </c>
      <c r="V236">
        <v>146.4</v>
      </c>
      <c r="W236">
        <v>150.19999999999999</v>
      </c>
      <c r="X236">
        <v>152.69999999999999</v>
      </c>
      <c r="Y236">
        <v>131.4</v>
      </c>
      <c r="Z236">
        <v>148</v>
      </c>
      <c r="AA236">
        <v>159.69999999999999</v>
      </c>
      <c r="AB236">
        <v>138.80000000000001</v>
      </c>
      <c r="AC236">
        <v>144.9</v>
      </c>
      <c r="AD236">
        <v>145.69999999999999</v>
      </c>
    </row>
    <row r="237" spans="1:30" x14ac:dyDescent="0.25">
      <c r="A237" t="s">
        <v>33</v>
      </c>
      <c r="B237">
        <v>2019</v>
      </c>
      <c r="C237" t="s">
        <v>41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D237">
        <v>144.19999999999999</v>
      </c>
    </row>
    <row r="238" spans="1:30" x14ac:dyDescent="0.25">
      <c r="A238" t="s">
        <v>34</v>
      </c>
      <c r="B238">
        <v>2019</v>
      </c>
      <c r="C238" t="s">
        <v>41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v>145</v>
      </c>
    </row>
    <row r="239" spans="1:30" x14ac:dyDescent="0.25">
      <c r="A239" t="s">
        <v>30</v>
      </c>
      <c r="B239">
        <v>2019</v>
      </c>
      <c r="C239" t="s">
        <v>42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t="s">
        <v>32</v>
      </c>
      <c r="V239">
        <v>146.9</v>
      </c>
      <c r="W239">
        <v>150.30000000000001</v>
      </c>
      <c r="X239">
        <v>153.4</v>
      </c>
      <c r="Y239">
        <v>131.6</v>
      </c>
      <c r="Z239">
        <v>148.30000000000001</v>
      </c>
      <c r="AA239">
        <v>160.19999999999999</v>
      </c>
      <c r="AB239">
        <v>140.19999999999999</v>
      </c>
      <c r="AC239">
        <v>145.4</v>
      </c>
      <c r="AD239">
        <v>146.69999999999999</v>
      </c>
    </row>
    <row r="240" spans="1:30" x14ac:dyDescent="0.25">
      <c r="A240" t="s">
        <v>33</v>
      </c>
      <c r="B240">
        <v>2019</v>
      </c>
      <c r="C240" t="s">
        <v>42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D240">
        <v>144.69999999999999</v>
      </c>
    </row>
    <row r="241" spans="1:30" x14ac:dyDescent="0.25">
      <c r="A241" t="s">
        <v>34</v>
      </c>
      <c r="B241">
        <v>2019</v>
      </c>
      <c r="C241" t="s">
        <v>42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v>145.80000000000001</v>
      </c>
    </row>
    <row r="242" spans="1:30" x14ac:dyDescent="0.25">
      <c r="A242" t="s">
        <v>30</v>
      </c>
      <c r="B242">
        <v>2019</v>
      </c>
      <c r="C242" t="s">
        <v>43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t="s">
        <v>32</v>
      </c>
      <c r="V242">
        <v>147.69999999999999</v>
      </c>
      <c r="W242">
        <v>150.6</v>
      </c>
      <c r="X242">
        <v>153.69999999999999</v>
      </c>
      <c r="Y242">
        <v>131.69999999999999</v>
      </c>
      <c r="Z242">
        <v>148.69999999999999</v>
      </c>
      <c r="AA242">
        <v>160.69999999999999</v>
      </c>
      <c r="AB242">
        <v>140.30000000000001</v>
      </c>
      <c r="AC242">
        <v>145.69999999999999</v>
      </c>
      <c r="AD242">
        <v>148.30000000000001</v>
      </c>
    </row>
    <row r="243" spans="1:30" x14ac:dyDescent="0.25">
      <c r="A243" t="s">
        <v>33</v>
      </c>
      <c r="B243">
        <v>2019</v>
      </c>
      <c r="C243" t="s">
        <v>43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D243">
        <v>146</v>
      </c>
    </row>
    <row r="244" spans="1:30" x14ac:dyDescent="0.25">
      <c r="A244" t="s">
        <v>34</v>
      </c>
      <c r="B244">
        <v>2019</v>
      </c>
      <c r="C244" t="s">
        <v>43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v>147.19999999999999</v>
      </c>
    </row>
    <row r="245" spans="1:30" x14ac:dyDescent="0.25">
      <c r="A245" t="s">
        <v>30</v>
      </c>
      <c r="B245">
        <v>2019</v>
      </c>
      <c r="C245" t="s">
        <v>45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t="s">
        <v>32</v>
      </c>
      <c r="V245">
        <v>148.4</v>
      </c>
      <c r="W245">
        <v>150.9</v>
      </c>
      <c r="X245">
        <v>154.30000000000001</v>
      </c>
      <c r="Y245">
        <v>132.1</v>
      </c>
      <c r="Z245">
        <v>149.1</v>
      </c>
      <c r="AA245">
        <v>160.80000000000001</v>
      </c>
      <c r="AB245">
        <v>140.6</v>
      </c>
      <c r="AC245">
        <v>146.1</v>
      </c>
      <c r="AD245">
        <v>149.9</v>
      </c>
    </row>
    <row r="246" spans="1:30" x14ac:dyDescent="0.25">
      <c r="A246" t="s">
        <v>33</v>
      </c>
      <c r="B246">
        <v>2019</v>
      </c>
      <c r="C246" t="s">
        <v>45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D246">
        <v>147</v>
      </c>
    </row>
    <row r="247" spans="1:30" x14ac:dyDescent="0.25">
      <c r="A247" t="s">
        <v>34</v>
      </c>
      <c r="B247">
        <v>2019</v>
      </c>
      <c r="C247" t="s">
        <v>45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v>148.6</v>
      </c>
    </row>
    <row r="248" spans="1:30" x14ac:dyDescent="0.25">
      <c r="A248" t="s">
        <v>30</v>
      </c>
      <c r="B248">
        <v>2019</v>
      </c>
      <c r="C248" t="s">
        <v>46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t="s">
        <v>32</v>
      </c>
      <c r="V248">
        <v>149.9</v>
      </c>
      <c r="W248">
        <v>151.19999999999999</v>
      </c>
      <c r="X248">
        <v>154.80000000000001</v>
      </c>
      <c r="Y248">
        <v>135</v>
      </c>
      <c r="Z248">
        <v>149.5</v>
      </c>
      <c r="AA248">
        <v>161.1</v>
      </c>
      <c r="AB248">
        <v>140.6</v>
      </c>
      <c r="AC248">
        <v>147.1</v>
      </c>
      <c r="AD248">
        <v>152.30000000000001</v>
      </c>
    </row>
    <row r="249" spans="1:30" x14ac:dyDescent="0.25">
      <c r="A249" t="s">
        <v>33</v>
      </c>
      <c r="B249">
        <v>2019</v>
      </c>
      <c r="C249" t="s">
        <v>46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D249">
        <v>148.30000000000001</v>
      </c>
    </row>
    <row r="250" spans="1:30" x14ac:dyDescent="0.25">
      <c r="A250" t="s">
        <v>34</v>
      </c>
      <c r="B250">
        <v>2019</v>
      </c>
      <c r="C250" t="s">
        <v>46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v>150.4</v>
      </c>
    </row>
    <row r="251" spans="1:30" x14ac:dyDescent="0.25">
      <c r="A251" t="s">
        <v>30</v>
      </c>
      <c r="B251">
        <v>2020</v>
      </c>
      <c r="C251" t="s">
        <v>31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t="s">
        <v>32</v>
      </c>
      <c r="V251">
        <v>150.4</v>
      </c>
      <c r="W251">
        <v>151.69999999999999</v>
      </c>
      <c r="X251">
        <v>155.69999999999999</v>
      </c>
      <c r="Y251">
        <v>136.30000000000001</v>
      </c>
      <c r="Z251">
        <v>150.1</v>
      </c>
      <c r="AA251">
        <v>161.69999999999999</v>
      </c>
      <c r="AB251">
        <v>142.5</v>
      </c>
      <c r="AC251">
        <v>148.1</v>
      </c>
      <c r="AD251">
        <v>151.9</v>
      </c>
    </row>
    <row r="252" spans="1:30" x14ac:dyDescent="0.25">
      <c r="A252" t="s">
        <v>33</v>
      </c>
      <c r="B252">
        <v>2020</v>
      </c>
      <c r="C252" t="s">
        <v>31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D252">
        <v>148.19999999999999</v>
      </c>
    </row>
    <row r="253" spans="1:30" x14ac:dyDescent="0.25">
      <c r="A253" t="s">
        <v>34</v>
      </c>
      <c r="B253">
        <v>2020</v>
      </c>
      <c r="C253" t="s">
        <v>31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v>150.19999999999999</v>
      </c>
    </row>
    <row r="254" spans="1:30" x14ac:dyDescent="0.25">
      <c r="A254" t="s">
        <v>30</v>
      </c>
      <c r="B254">
        <v>2020</v>
      </c>
      <c r="C254" t="s">
        <v>35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t="s">
        <v>32</v>
      </c>
      <c r="V254">
        <v>152.30000000000001</v>
      </c>
      <c r="W254">
        <v>151.80000000000001</v>
      </c>
      <c r="X254">
        <v>156.19999999999999</v>
      </c>
      <c r="Y254">
        <v>136</v>
      </c>
      <c r="Z254">
        <v>150.4</v>
      </c>
      <c r="AA254">
        <v>161.9</v>
      </c>
      <c r="AB254">
        <v>143.4</v>
      </c>
      <c r="AC254">
        <v>148.4</v>
      </c>
      <c r="AD254">
        <v>150.4</v>
      </c>
    </row>
    <row r="255" spans="1:30" x14ac:dyDescent="0.25">
      <c r="A255" t="s">
        <v>33</v>
      </c>
      <c r="B255">
        <v>2020</v>
      </c>
      <c r="C255" t="s">
        <v>35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D255">
        <v>147.69999999999999</v>
      </c>
    </row>
    <row r="256" spans="1:30" x14ac:dyDescent="0.25">
      <c r="A256" t="s">
        <v>34</v>
      </c>
      <c r="B256">
        <v>2020</v>
      </c>
      <c r="C256" t="s">
        <v>35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v>149.1</v>
      </c>
    </row>
    <row r="257" spans="1:30" x14ac:dyDescent="0.25">
      <c r="A257" t="s">
        <v>30</v>
      </c>
      <c r="B257">
        <v>2020</v>
      </c>
      <c r="C257" t="s">
        <v>36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t="s">
        <v>32</v>
      </c>
      <c r="V257">
        <v>153.4</v>
      </c>
      <c r="W257">
        <v>151.5</v>
      </c>
      <c r="X257">
        <v>156.69999999999999</v>
      </c>
      <c r="Y257">
        <v>135.80000000000001</v>
      </c>
      <c r="Z257">
        <v>151.19999999999999</v>
      </c>
      <c r="AA257">
        <v>161.19999999999999</v>
      </c>
      <c r="AB257">
        <v>145.1</v>
      </c>
      <c r="AC257">
        <v>148.6</v>
      </c>
      <c r="AD257">
        <v>149.80000000000001</v>
      </c>
    </row>
    <row r="258" spans="1:30" x14ac:dyDescent="0.25">
      <c r="A258" t="s">
        <v>33</v>
      </c>
      <c r="B258">
        <v>2020</v>
      </c>
      <c r="C258" t="s">
        <v>36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D258">
        <v>147.30000000000001</v>
      </c>
    </row>
    <row r="259" spans="1:30" x14ac:dyDescent="0.25">
      <c r="A259" t="s">
        <v>34</v>
      </c>
      <c r="B259">
        <v>2020</v>
      </c>
      <c r="C259" t="s">
        <v>36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v>148.6</v>
      </c>
    </row>
    <row r="260" spans="1:30" x14ac:dyDescent="0.25">
      <c r="A260" t="s">
        <v>30</v>
      </c>
      <c r="B260">
        <v>2020</v>
      </c>
      <c r="C260" t="s">
        <v>37</v>
      </c>
      <c r="D260">
        <v>147.19999999999999</v>
      </c>
      <c r="E260" t="s">
        <v>32</v>
      </c>
      <c r="F260">
        <v>146.9</v>
      </c>
      <c r="G260">
        <v>155.6</v>
      </c>
      <c r="H260">
        <v>137.1</v>
      </c>
      <c r="I260">
        <v>147.30000000000001</v>
      </c>
      <c r="J260">
        <v>162.69999999999999</v>
      </c>
      <c r="K260">
        <v>150.19999999999999</v>
      </c>
      <c r="L260">
        <v>119.8</v>
      </c>
      <c r="M260">
        <v>158.69999999999999</v>
      </c>
      <c r="N260">
        <v>139.19999999999999</v>
      </c>
      <c r="O260" t="s">
        <v>32</v>
      </c>
      <c r="P260">
        <v>150.1</v>
      </c>
      <c r="Q260" t="s">
        <v>32</v>
      </c>
      <c r="R260" t="s">
        <v>32</v>
      </c>
      <c r="S260" t="s">
        <v>32</v>
      </c>
      <c r="T260" t="s">
        <v>32</v>
      </c>
      <c r="U260" t="s">
        <v>32</v>
      </c>
      <c r="V260">
        <v>148.4</v>
      </c>
      <c r="W260" t="s">
        <v>32</v>
      </c>
      <c r="X260">
        <v>154.30000000000001</v>
      </c>
      <c r="Y260" t="s">
        <v>32</v>
      </c>
      <c r="Z260" t="s">
        <v>32</v>
      </c>
      <c r="AA260" t="s">
        <v>32</v>
      </c>
      <c r="AB260" t="s">
        <v>32</v>
      </c>
      <c r="AC260" t="s">
        <v>32</v>
      </c>
      <c r="AD260" t="s">
        <v>32</v>
      </c>
    </row>
    <row r="261" spans="1:30" x14ac:dyDescent="0.25">
      <c r="A261" t="s">
        <v>33</v>
      </c>
      <c r="B261">
        <v>2020</v>
      </c>
      <c r="C261" t="s">
        <v>37</v>
      </c>
      <c r="D261">
        <v>151.80000000000001</v>
      </c>
      <c r="E261" t="s">
        <v>32</v>
      </c>
      <c r="F261">
        <v>151.9</v>
      </c>
      <c r="G261">
        <v>155.5</v>
      </c>
      <c r="H261">
        <v>131.6</v>
      </c>
      <c r="I261">
        <v>152.9</v>
      </c>
      <c r="J261">
        <v>180</v>
      </c>
      <c r="K261">
        <v>150.80000000000001</v>
      </c>
      <c r="L261">
        <v>121.2</v>
      </c>
      <c r="M261">
        <v>154</v>
      </c>
      <c r="N261">
        <v>133.5</v>
      </c>
      <c r="O261" t="s">
        <v>32</v>
      </c>
      <c r="P261">
        <v>153.5</v>
      </c>
      <c r="Q261" t="s">
        <v>32</v>
      </c>
      <c r="R261" t="s">
        <v>32</v>
      </c>
      <c r="S261" t="s">
        <v>32</v>
      </c>
      <c r="T261" t="s">
        <v>32</v>
      </c>
      <c r="U261">
        <v>155.6</v>
      </c>
      <c r="V261">
        <v>137.1</v>
      </c>
      <c r="W261" t="s">
        <v>32</v>
      </c>
      <c r="X261">
        <v>144.80000000000001</v>
      </c>
      <c r="Y261" t="s">
        <v>32</v>
      </c>
      <c r="Z261" t="s">
        <v>32</v>
      </c>
      <c r="AA261" t="s">
        <v>32</v>
      </c>
      <c r="AB261" t="s">
        <v>32</v>
      </c>
      <c r="AC261" t="s">
        <v>32</v>
      </c>
      <c r="AD261" t="s">
        <v>32</v>
      </c>
    </row>
    <row r="262" spans="1:30" x14ac:dyDescent="0.25">
      <c r="A262" t="s">
        <v>34</v>
      </c>
      <c r="B262">
        <v>2020</v>
      </c>
      <c r="C262" t="s">
        <v>37</v>
      </c>
      <c r="D262">
        <v>148.69999999999999</v>
      </c>
      <c r="E262" t="s">
        <v>32</v>
      </c>
      <c r="F262">
        <v>148.80000000000001</v>
      </c>
      <c r="G262">
        <v>155.6</v>
      </c>
      <c r="H262">
        <v>135.1</v>
      </c>
      <c r="I262">
        <v>149.9</v>
      </c>
      <c r="J262">
        <v>168.6</v>
      </c>
      <c r="K262">
        <v>150.4</v>
      </c>
      <c r="L262">
        <v>120.3</v>
      </c>
      <c r="M262">
        <v>157.1</v>
      </c>
      <c r="N262">
        <v>136.80000000000001</v>
      </c>
      <c r="O262" t="s">
        <v>32</v>
      </c>
      <c r="P262">
        <v>151.4</v>
      </c>
      <c r="Q262" t="s">
        <v>32</v>
      </c>
      <c r="R262" t="s">
        <v>32</v>
      </c>
      <c r="S262" t="s">
        <v>32</v>
      </c>
      <c r="T262" t="s">
        <v>32</v>
      </c>
      <c r="U262">
        <v>155.6</v>
      </c>
      <c r="V262">
        <v>144.1</v>
      </c>
      <c r="W262" t="s">
        <v>32</v>
      </c>
      <c r="X262">
        <v>150.69999999999999</v>
      </c>
      <c r="Y262" t="s">
        <v>32</v>
      </c>
      <c r="Z262" t="s">
        <v>32</v>
      </c>
      <c r="AA262" t="s">
        <v>32</v>
      </c>
      <c r="AB262" t="s">
        <v>32</v>
      </c>
      <c r="AC262" t="s">
        <v>32</v>
      </c>
      <c r="AD262" t="s">
        <v>32</v>
      </c>
    </row>
    <row r="263" spans="1:30" x14ac:dyDescent="0.25">
      <c r="A263" t="s">
        <v>30</v>
      </c>
      <c r="B263">
        <v>2020</v>
      </c>
      <c r="C263" t="s">
        <v>38</v>
      </c>
      <c r="D263" t="s">
        <v>32</v>
      </c>
      <c r="E263" t="s">
        <v>32</v>
      </c>
      <c r="F263" t="s">
        <v>32</v>
      </c>
      <c r="G263" t="s">
        <v>32</v>
      </c>
      <c r="H263" t="s">
        <v>32</v>
      </c>
      <c r="I263" t="s">
        <v>32</v>
      </c>
      <c r="J263" t="s">
        <v>32</v>
      </c>
      <c r="K263" t="s">
        <v>32</v>
      </c>
      <c r="L263" t="s">
        <v>32</v>
      </c>
      <c r="M263" t="s">
        <v>32</v>
      </c>
      <c r="N263" t="s">
        <v>32</v>
      </c>
      <c r="O263" t="s">
        <v>32</v>
      </c>
      <c r="P263" t="s">
        <v>32</v>
      </c>
      <c r="Q263" t="s">
        <v>32</v>
      </c>
      <c r="R263" t="s">
        <v>32</v>
      </c>
      <c r="S263" t="s">
        <v>32</v>
      </c>
      <c r="T263" t="s">
        <v>32</v>
      </c>
      <c r="U263" t="s">
        <v>32</v>
      </c>
      <c r="V263" t="s">
        <v>32</v>
      </c>
      <c r="W263" t="s">
        <v>32</v>
      </c>
      <c r="X263" t="s">
        <v>32</v>
      </c>
      <c r="Y263" t="s">
        <v>32</v>
      </c>
      <c r="Z263" t="s">
        <v>32</v>
      </c>
      <c r="AA263" t="s">
        <v>32</v>
      </c>
      <c r="AB263" t="s">
        <v>32</v>
      </c>
      <c r="AC263" t="s">
        <v>32</v>
      </c>
      <c r="AD263" t="s">
        <v>32</v>
      </c>
    </row>
    <row r="264" spans="1:30" x14ac:dyDescent="0.25">
      <c r="A264" t="s">
        <v>33</v>
      </c>
      <c r="B264">
        <v>2020</v>
      </c>
      <c r="C264" t="s">
        <v>38</v>
      </c>
      <c r="D264" t="s">
        <v>32</v>
      </c>
      <c r="E264" t="s">
        <v>32</v>
      </c>
      <c r="F264" t="s">
        <v>32</v>
      </c>
      <c r="G264" t="s">
        <v>32</v>
      </c>
      <c r="H264" t="s">
        <v>32</v>
      </c>
      <c r="I264" t="s">
        <v>32</v>
      </c>
      <c r="J264" t="s">
        <v>32</v>
      </c>
      <c r="K264" t="s">
        <v>32</v>
      </c>
      <c r="L264" t="s">
        <v>32</v>
      </c>
      <c r="M264" t="s">
        <v>32</v>
      </c>
      <c r="N264" t="s">
        <v>32</v>
      </c>
      <c r="O264" t="s">
        <v>32</v>
      </c>
      <c r="P264" t="s">
        <v>32</v>
      </c>
      <c r="Q264" t="s">
        <v>32</v>
      </c>
      <c r="R264" t="s">
        <v>32</v>
      </c>
      <c r="S264" t="s">
        <v>32</v>
      </c>
      <c r="T264" t="s">
        <v>32</v>
      </c>
      <c r="U264" t="s">
        <v>32</v>
      </c>
      <c r="V264" t="s">
        <v>32</v>
      </c>
      <c r="W264" t="s">
        <v>32</v>
      </c>
      <c r="X264" t="s">
        <v>32</v>
      </c>
      <c r="Y264" t="s">
        <v>32</v>
      </c>
      <c r="Z264" t="s">
        <v>32</v>
      </c>
      <c r="AA264" t="s">
        <v>32</v>
      </c>
      <c r="AB264" t="s">
        <v>32</v>
      </c>
      <c r="AC264" t="s">
        <v>32</v>
      </c>
      <c r="AD264" t="s">
        <v>32</v>
      </c>
    </row>
    <row r="265" spans="1:30" x14ac:dyDescent="0.25">
      <c r="A265" t="s">
        <v>34</v>
      </c>
      <c r="B265">
        <v>2020</v>
      </c>
      <c r="C265" t="s">
        <v>38</v>
      </c>
      <c r="D265" t="s">
        <v>32</v>
      </c>
      <c r="E265" t="s">
        <v>32</v>
      </c>
      <c r="F265" t="s">
        <v>32</v>
      </c>
      <c r="G265" t="s">
        <v>32</v>
      </c>
      <c r="H265" t="s">
        <v>32</v>
      </c>
      <c r="I265" t="s">
        <v>32</v>
      </c>
      <c r="J265" t="s">
        <v>32</v>
      </c>
      <c r="K265" t="s">
        <v>32</v>
      </c>
      <c r="L265" t="s">
        <v>32</v>
      </c>
      <c r="M265" t="s">
        <v>32</v>
      </c>
      <c r="N265" t="s">
        <v>32</v>
      </c>
      <c r="O265" t="s">
        <v>32</v>
      </c>
      <c r="P265" t="s">
        <v>32</v>
      </c>
      <c r="Q265" t="s">
        <v>32</v>
      </c>
      <c r="R265" t="s">
        <v>32</v>
      </c>
      <c r="S265" t="s">
        <v>32</v>
      </c>
      <c r="T265" t="s">
        <v>32</v>
      </c>
      <c r="U265" t="s">
        <v>32</v>
      </c>
      <c r="V265" t="s">
        <v>32</v>
      </c>
      <c r="W265" t="s">
        <v>32</v>
      </c>
      <c r="X265" t="s">
        <v>32</v>
      </c>
      <c r="Y265" t="s">
        <v>32</v>
      </c>
      <c r="Z265" t="s">
        <v>32</v>
      </c>
      <c r="AA265" t="s">
        <v>32</v>
      </c>
      <c r="AB265" t="s">
        <v>32</v>
      </c>
      <c r="AC265" t="s">
        <v>32</v>
      </c>
      <c r="AD265" t="s">
        <v>32</v>
      </c>
    </row>
    <row r="266" spans="1:30" x14ac:dyDescent="0.25">
      <c r="A266" t="s">
        <v>30</v>
      </c>
      <c r="B266">
        <v>2020</v>
      </c>
      <c r="C266" t="s">
        <v>39</v>
      </c>
      <c r="D266">
        <v>148.19999999999999</v>
      </c>
      <c r="E266">
        <v>190.3</v>
      </c>
      <c r="F266">
        <v>149.4</v>
      </c>
      <c r="G266">
        <v>153.30000000000001</v>
      </c>
      <c r="H266">
        <v>138.19999999999999</v>
      </c>
      <c r="I266">
        <v>143.19999999999999</v>
      </c>
      <c r="J266">
        <v>148.9</v>
      </c>
      <c r="K266">
        <v>150.30000000000001</v>
      </c>
      <c r="L266">
        <v>113.2</v>
      </c>
      <c r="M266">
        <v>159.80000000000001</v>
      </c>
      <c r="N266">
        <v>142.1</v>
      </c>
      <c r="O266">
        <v>161.80000000000001</v>
      </c>
      <c r="P266">
        <v>152.30000000000001</v>
      </c>
      <c r="Q266">
        <v>182.4</v>
      </c>
      <c r="R266">
        <v>154.69999999999999</v>
      </c>
      <c r="S266">
        <v>150</v>
      </c>
      <c r="T266">
        <v>154.1</v>
      </c>
      <c r="U266" t="s">
        <v>32</v>
      </c>
      <c r="V266">
        <v>144.9</v>
      </c>
      <c r="W266">
        <v>151.69999999999999</v>
      </c>
      <c r="X266">
        <v>158.19999999999999</v>
      </c>
      <c r="Y266">
        <v>141.4</v>
      </c>
      <c r="Z266">
        <v>153.19999999999999</v>
      </c>
      <c r="AA266">
        <v>161.80000000000001</v>
      </c>
      <c r="AB266">
        <v>151.19999999999999</v>
      </c>
      <c r="AC266">
        <v>151.69999999999999</v>
      </c>
      <c r="AD266">
        <v>152.69999999999999</v>
      </c>
    </row>
    <row r="267" spans="1:30" x14ac:dyDescent="0.25">
      <c r="A267" t="s">
        <v>33</v>
      </c>
      <c r="B267">
        <v>2020</v>
      </c>
      <c r="C267" t="s">
        <v>39</v>
      </c>
      <c r="D267">
        <v>152.69999999999999</v>
      </c>
      <c r="E267">
        <v>197</v>
      </c>
      <c r="F267">
        <v>154.6</v>
      </c>
      <c r="G267">
        <v>153.4</v>
      </c>
      <c r="H267">
        <v>132.9</v>
      </c>
      <c r="I267">
        <v>151.80000000000001</v>
      </c>
      <c r="J267">
        <v>171.2</v>
      </c>
      <c r="K267">
        <v>152</v>
      </c>
      <c r="L267">
        <v>116.3</v>
      </c>
      <c r="M267">
        <v>158.80000000000001</v>
      </c>
      <c r="N267">
        <v>135.6</v>
      </c>
      <c r="O267">
        <v>161.69999999999999</v>
      </c>
      <c r="P267">
        <v>157</v>
      </c>
      <c r="Q267">
        <v>186.7</v>
      </c>
      <c r="R267">
        <v>149.1</v>
      </c>
      <c r="S267">
        <v>136.6</v>
      </c>
      <c r="T267">
        <v>147.19999999999999</v>
      </c>
      <c r="U267">
        <v>154.69999999999999</v>
      </c>
      <c r="V267">
        <v>137.1</v>
      </c>
      <c r="W267">
        <v>140.4</v>
      </c>
      <c r="X267">
        <v>148.1</v>
      </c>
      <c r="Y267">
        <v>129.30000000000001</v>
      </c>
      <c r="Z267">
        <v>144.5</v>
      </c>
      <c r="AA267">
        <v>152.5</v>
      </c>
      <c r="AB267">
        <v>152.19999999999999</v>
      </c>
      <c r="AC267">
        <v>142</v>
      </c>
      <c r="AD267">
        <v>150.80000000000001</v>
      </c>
    </row>
    <row r="268" spans="1:30" x14ac:dyDescent="0.25">
      <c r="A268" t="s">
        <v>34</v>
      </c>
      <c r="B268">
        <v>2020</v>
      </c>
      <c r="C268" t="s">
        <v>39</v>
      </c>
      <c r="D268">
        <v>149.6</v>
      </c>
      <c r="E268">
        <v>192.7</v>
      </c>
      <c r="F268">
        <v>151.4</v>
      </c>
      <c r="G268">
        <v>153.30000000000001</v>
      </c>
      <c r="H268">
        <v>136.30000000000001</v>
      </c>
      <c r="I268">
        <v>147.19999999999999</v>
      </c>
      <c r="J268">
        <v>156.5</v>
      </c>
      <c r="K268">
        <v>150.9</v>
      </c>
      <c r="L268">
        <v>114.2</v>
      </c>
      <c r="M268">
        <v>159.5</v>
      </c>
      <c r="N268">
        <v>139.4</v>
      </c>
      <c r="O268">
        <v>161.80000000000001</v>
      </c>
      <c r="P268">
        <v>154</v>
      </c>
      <c r="Q268">
        <v>183.5</v>
      </c>
      <c r="R268">
        <v>152.5</v>
      </c>
      <c r="S268">
        <v>144.4</v>
      </c>
      <c r="T268">
        <v>151.4</v>
      </c>
      <c r="U268">
        <v>154.69999999999999</v>
      </c>
      <c r="V268">
        <v>141.9</v>
      </c>
      <c r="W268">
        <v>146.4</v>
      </c>
      <c r="X268">
        <v>154.4</v>
      </c>
      <c r="Y268">
        <v>135</v>
      </c>
      <c r="Z268">
        <v>148.30000000000001</v>
      </c>
      <c r="AA268">
        <v>156.4</v>
      </c>
      <c r="AB268">
        <v>151.6</v>
      </c>
      <c r="AC268">
        <v>147</v>
      </c>
      <c r="AD268">
        <v>151.80000000000001</v>
      </c>
    </row>
    <row r="269" spans="1:30" x14ac:dyDescent="0.25">
      <c r="A269" t="s">
        <v>30</v>
      </c>
      <c r="B269">
        <v>2020</v>
      </c>
      <c r="C269" t="s">
        <v>40</v>
      </c>
      <c r="D269">
        <v>148.19999999999999</v>
      </c>
      <c r="E269">
        <v>190.3</v>
      </c>
      <c r="F269">
        <v>149.4</v>
      </c>
      <c r="G269">
        <v>153.30000000000001</v>
      </c>
      <c r="H269">
        <v>138.19999999999999</v>
      </c>
      <c r="I269">
        <v>143.19999999999999</v>
      </c>
      <c r="J269">
        <v>148.9</v>
      </c>
      <c r="K269">
        <v>150.30000000000001</v>
      </c>
      <c r="L269">
        <v>113.2</v>
      </c>
      <c r="M269">
        <v>159.80000000000001</v>
      </c>
      <c r="N269">
        <v>142.1</v>
      </c>
      <c r="O269">
        <v>161.80000000000001</v>
      </c>
      <c r="P269">
        <v>152.30000000000001</v>
      </c>
      <c r="Q269">
        <v>182.4</v>
      </c>
      <c r="R269">
        <v>154.69999999999999</v>
      </c>
      <c r="S269">
        <v>150</v>
      </c>
      <c r="T269">
        <v>154.1</v>
      </c>
      <c r="U269" t="s">
        <v>32</v>
      </c>
      <c r="V269">
        <v>144.9</v>
      </c>
      <c r="W269">
        <v>151.69999999999999</v>
      </c>
      <c r="X269">
        <v>158.19999999999999</v>
      </c>
      <c r="Y269">
        <v>141.4</v>
      </c>
      <c r="Z269">
        <v>153.19999999999999</v>
      </c>
      <c r="AA269">
        <v>161.80000000000001</v>
      </c>
      <c r="AB269">
        <v>151.19999999999999</v>
      </c>
      <c r="AC269">
        <v>151.69999999999999</v>
      </c>
      <c r="AD269">
        <v>152.69999999999999</v>
      </c>
    </row>
    <row r="270" spans="1:30" x14ac:dyDescent="0.25">
      <c r="A270" t="s">
        <v>33</v>
      </c>
      <c r="B270">
        <v>2020</v>
      </c>
      <c r="C270" t="s">
        <v>40</v>
      </c>
      <c r="D270">
        <v>152.69999999999999</v>
      </c>
      <c r="E270">
        <v>197</v>
      </c>
      <c r="F270">
        <v>154.6</v>
      </c>
      <c r="G270">
        <v>153.4</v>
      </c>
      <c r="H270">
        <v>132.9</v>
      </c>
      <c r="I270">
        <v>151.80000000000001</v>
      </c>
      <c r="J270">
        <v>171.2</v>
      </c>
      <c r="K270">
        <v>152</v>
      </c>
      <c r="L270">
        <v>116.3</v>
      </c>
      <c r="M270">
        <v>158.80000000000001</v>
      </c>
      <c r="N270">
        <v>135.6</v>
      </c>
      <c r="O270">
        <v>161.69999999999999</v>
      </c>
      <c r="P270">
        <v>157</v>
      </c>
      <c r="Q270">
        <v>186.7</v>
      </c>
      <c r="R270">
        <v>149.1</v>
      </c>
      <c r="S270">
        <v>136.6</v>
      </c>
      <c r="T270">
        <v>147.19999999999999</v>
      </c>
      <c r="U270">
        <v>154.69999999999999</v>
      </c>
      <c r="V270">
        <v>137.1</v>
      </c>
      <c r="W270">
        <v>140.4</v>
      </c>
      <c r="X270">
        <v>148.1</v>
      </c>
      <c r="Y270">
        <v>129.30000000000001</v>
      </c>
      <c r="Z270">
        <v>144.5</v>
      </c>
      <c r="AA270">
        <v>152.5</v>
      </c>
      <c r="AB270">
        <v>152.19999999999999</v>
      </c>
      <c r="AC270">
        <v>142</v>
      </c>
      <c r="AD270">
        <v>150.80000000000001</v>
      </c>
    </row>
    <row r="271" spans="1:30" x14ac:dyDescent="0.25">
      <c r="A271" t="s">
        <v>34</v>
      </c>
      <c r="B271">
        <v>2020</v>
      </c>
      <c r="C271" t="s">
        <v>40</v>
      </c>
      <c r="D271">
        <v>149.6</v>
      </c>
      <c r="E271">
        <v>192.7</v>
      </c>
      <c r="F271">
        <v>151.4</v>
      </c>
      <c r="G271">
        <v>153.30000000000001</v>
      </c>
      <c r="H271">
        <v>136.30000000000001</v>
      </c>
      <c r="I271">
        <v>147.19999999999999</v>
      </c>
      <c r="J271">
        <v>156.5</v>
      </c>
      <c r="K271">
        <v>150.9</v>
      </c>
      <c r="L271">
        <v>114.2</v>
      </c>
      <c r="M271">
        <v>159.5</v>
      </c>
      <c r="N271">
        <v>139.4</v>
      </c>
      <c r="O271">
        <v>161.80000000000001</v>
      </c>
      <c r="P271">
        <v>154</v>
      </c>
      <c r="Q271">
        <v>183.5</v>
      </c>
      <c r="R271">
        <v>152.5</v>
      </c>
      <c r="S271">
        <v>144.4</v>
      </c>
      <c r="T271">
        <v>151.4</v>
      </c>
      <c r="U271">
        <v>154.69999999999999</v>
      </c>
      <c r="V271">
        <v>141.9</v>
      </c>
      <c r="W271">
        <v>146.4</v>
      </c>
      <c r="X271">
        <v>154.4</v>
      </c>
      <c r="Y271">
        <v>135</v>
      </c>
      <c r="Z271">
        <v>148.30000000000001</v>
      </c>
      <c r="AA271">
        <v>156.4</v>
      </c>
      <c r="AB271">
        <v>151.6</v>
      </c>
      <c r="AC271">
        <v>147</v>
      </c>
      <c r="AD271">
        <v>151.80000000000001</v>
      </c>
    </row>
    <row r="272" spans="1:30" x14ac:dyDescent="0.25">
      <c r="A272" t="s">
        <v>30</v>
      </c>
      <c r="B272">
        <v>2020</v>
      </c>
      <c r="C272" t="s">
        <v>41</v>
      </c>
      <c r="D272">
        <v>147.6</v>
      </c>
      <c r="E272">
        <v>187.2</v>
      </c>
      <c r="F272">
        <v>148.4</v>
      </c>
      <c r="G272">
        <v>153.30000000000001</v>
      </c>
      <c r="H272">
        <v>139.80000000000001</v>
      </c>
      <c r="I272">
        <v>146.9</v>
      </c>
      <c r="J272">
        <v>171</v>
      </c>
      <c r="K272">
        <v>149.9</v>
      </c>
      <c r="L272">
        <v>114.2</v>
      </c>
      <c r="M272">
        <v>160</v>
      </c>
      <c r="N272">
        <v>143.5</v>
      </c>
      <c r="O272">
        <v>161.5</v>
      </c>
      <c r="P272">
        <v>155.30000000000001</v>
      </c>
      <c r="Q272">
        <v>180.9</v>
      </c>
      <c r="R272">
        <v>155.1</v>
      </c>
      <c r="S272">
        <v>149.30000000000001</v>
      </c>
      <c r="T272">
        <v>154.30000000000001</v>
      </c>
      <c r="U272" t="s">
        <v>32</v>
      </c>
      <c r="V272">
        <v>145.80000000000001</v>
      </c>
      <c r="W272">
        <v>151.9</v>
      </c>
      <c r="X272">
        <v>158.80000000000001</v>
      </c>
      <c r="Y272">
        <v>143.6</v>
      </c>
      <c r="Z272">
        <v>152.19999999999999</v>
      </c>
      <c r="AA272">
        <v>162.69999999999999</v>
      </c>
      <c r="AB272">
        <v>153.6</v>
      </c>
      <c r="AC272">
        <v>153</v>
      </c>
      <c r="AD272">
        <v>154.69999999999999</v>
      </c>
    </row>
    <row r="273" spans="1:30" x14ac:dyDescent="0.25">
      <c r="A273" t="s">
        <v>33</v>
      </c>
      <c r="B273">
        <v>2020</v>
      </c>
      <c r="C273" t="s">
        <v>41</v>
      </c>
      <c r="D273">
        <v>151.6</v>
      </c>
      <c r="E273">
        <v>197.8</v>
      </c>
      <c r="F273">
        <v>154.5</v>
      </c>
      <c r="G273">
        <v>153.4</v>
      </c>
      <c r="H273">
        <v>133.4</v>
      </c>
      <c r="I273">
        <v>154.5</v>
      </c>
      <c r="J273">
        <v>191.9</v>
      </c>
      <c r="K273">
        <v>151.30000000000001</v>
      </c>
      <c r="L273">
        <v>116.8</v>
      </c>
      <c r="M273">
        <v>160</v>
      </c>
      <c r="N273">
        <v>136.5</v>
      </c>
      <c r="O273">
        <v>163.30000000000001</v>
      </c>
      <c r="P273">
        <v>159.9</v>
      </c>
      <c r="Q273">
        <v>187.2</v>
      </c>
      <c r="R273">
        <v>150</v>
      </c>
      <c r="S273">
        <v>135.19999999999999</v>
      </c>
      <c r="T273">
        <v>147.80000000000001</v>
      </c>
      <c r="U273">
        <v>155.5</v>
      </c>
      <c r="V273">
        <v>138.30000000000001</v>
      </c>
      <c r="W273">
        <v>144.5</v>
      </c>
      <c r="X273">
        <v>148.69999999999999</v>
      </c>
      <c r="Y273">
        <v>133.9</v>
      </c>
      <c r="Z273">
        <v>141.19999999999999</v>
      </c>
      <c r="AA273">
        <v>155.5</v>
      </c>
      <c r="AB273">
        <v>155.19999999999999</v>
      </c>
      <c r="AC273">
        <v>144.80000000000001</v>
      </c>
      <c r="AD273">
        <v>152.9</v>
      </c>
    </row>
    <row r="274" spans="1:30" x14ac:dyDescent="0.25">
      <c r="A274" t="s">
        <v>34</v>
      </c>
      <c r="B274">
        <v>2020</v>
      </c>
      <c r="C274" t="s">
        <v>41</v>
      </c>
      <c r="D274">
        <v>148.9</v>
      </c>
      <c r="E274">
        <v>190.9</v>
      </c>
      <c r="F274">
        <v>150.80000000000001</v>
      </c>
      <c r="G274">
        <v>153.30000000000001</v>
      </c>
      <c r="H274">
        <v>137.4</v>
      </c>
      <c r="I274">
        <v>150.4</v>
      </c>
      <c r="J274">
        <v>178.1</v>
      </c>
      <c r="K274">
        <v>150.4</v>
      </c>
      <c r="L274">
        <v>115.1</v>
      </c>
      <c r="M274">
        <v>160</v>
      </c>
      <c r="N274">
        <v>140.6</v>
      </c>
      <c r="O274">
        <v>162.30000000000001</v>
      </c>
      <c r="P274">
        <v>157</v>
      </c>
      <c r="Q274">
        <v>182.6</v>
      </c>
      <c r="R274">
        <v>153.1</v>
      </c>
      <c r="S274">
        <v>143.4</v>
      </c>
      <c r="T274">
        <v>151.69999999999999</v>
      </c>
      <c r="U274">
        <v>155.5</v>
      </c>
      <c r="V274">
        <v>143</v>
      </c>
      <c r="W274">
        <v>148.4</v>
      </c>
      <c r="X274">
        <v>155</v>
      </c>
      <c r="Y274">
        <v>138.5</v>
      </c>
      <c r="Z274">
        <v>146</v>
      </c>
      <c r="AA274">
        <v>158.5</v>
      </c>
      <c r="AB274">
        <v>154.30000000000001</v>
      </c>
      <c r="AC274">
        <v>149</v>
      </c>
      <c r="AD274">
        <v>153.9</v>
      </c>
    </row>
    <row r="275" spans="1:30" x14ac:dyDescent="0.25">
      <c r="A275" t="s">
        <v>30</v>
      </c>
      <c r="B275">
        <v>2020</v>
      </c>
      <c r="C275" t="s">
        <v>42</v>
      </c>
      <c r="D275">
        <v>146.9</v>
      </c>
      <c r="E275">
        <v>183.9</v>
      </c>
      <c r="F275">
        <v>149.5</v>
      </c>
      <c r="G275">
        <v>153.4</v>
      </c>
      <c r="H275">
        <v>140.4</v>
      </c>
      <c r="I275">
        <v>147</v>
      </c>
      <c r="J275">
        <v>178.8</v>
      </c>
      <c r="K275">
        <v>149.30000000000001</v>
      </c>
      <c r="L275">
        <v>115.1</v>
      </c>
      <c r="M275">
        <v>160</v>
      </c>
      <c r="N275">
        <v>145.4</v>
      </c>
      <c r="O275">
        <v>161.6</v>
      </c>
      <c r="P275">
        <v>156.1</v>
      </c>
      <c r="Q275">
        <v>182.9</v>
      </c>
      <c r="R275">
        <v>155.4</v>
      </c>
      <c r="S275">
        <v>149.9</v>
      </c>
      <c r="T275">
        <v>154.6</v>
      </c>
      <c r="U275" t="s">
        <v>32</v>
      </c>
      <c r="V275">
        <v>146.4</v>
      </c>
      <c r="W275">
        <v>151.6</v>
      </c>
      <c r="X275">
        <v>159.1</v>
      </c>
      <c r="Y275">
        <v>144.6</v>
      </c>
      <c r="Z275">
        <v>152.80000000000001</v>
      </c>
      <c r="AA275">
        <v>161.1</v>
      </c>
      <c r="AB275">
        <v>157.4</v>
      </c>
      <c r="AC275">
        <v>153.69999999999999</v>
      </c>
      <c r="AD275">
        <v>155.4</v>
      </c>
    </row>
    <row r="276" spans="1:30" x14ac:dyDescent="0.25">
      <c r="A276" t="s">
        <v>33</v>
      </c>
      <c r="B276">
        <v>2020</v>
      </c>
      <c r="C276" t="s">
        <v>42</v>
      </c>
      <c r="D276">
        <v>151.5</v>
      </c>
      <c r="E276">
        <v>193.1</v>
      </c>
      <c r="F276">
        <v>157.30000000000001</v>
      </c>
      <c r="G276">
        <v>153.9</v>
      </c>
      <c r="H276">
        <v>134.4</v>
      </c>
      <c r="I276">
        <v>155.4</v>
      </c>
      <c r="J276">
        <v>202</v>
      </c>
      <c r="K276">
        <v>150.80000000000001</v>
      </c>
      <c r="L276">
        <v>118.9</v>
      </c>
      <c r="M276">
        <v>160.9</v>
      </c>
      <c r="N276">
        <v>137.69999999999999</v>
      </c>
      <c r="O276">
        <v>164.4</v>
      </c>
      <c r="P276">
        <v>161.30000000000001</v>
      </c>
      <c r="Q276">
        <v>188.7</v>
      </c>
      <c r="R276">
        <v>150.19999999999999</v>
      </c>
      <c r="S276">
        <v>136.30000000000001</v>
      </c>
      <c r="T276">
        <v>148.1</v>
      </c>
      <c r="U276">
        <v>156.30000000000001</v>
      </c>
      <c r="V276">
        <v>137.19999999999999</v>
      </c>
      <c r="W276">
        <v>145.4</v>
      </c>
      <c r="X276">
        <v>150</v>
      </c>
      <c r="Y276">
        <v>135.1</v>
      </c>
      <c r="Z276">
        <v>141.80000000000001</v>
      </c>
      <c r="AA276">
        <v>154.9</v>
      </c>
      <c r="AB276">
        <v>159.80000000000001</v>
      </c>
      <c r="AC276">
        <v>146</v>
      </c>
      <c r="AD276">
        <v>154</v>
      </c>
    </row>
    <row r="277" spans="1:30" x14ac:dyDescent="0.25">
      <c r="A277" t="s">
        <v>34</v>
      </c>
      <c r="B277">
        <v>2020</v>
      </c>
      <c r="C277" t="s">
        <v>42</v>
      </c>
      <c r="D277">
        <v>148.4</v>
      </c>
      <c r="E277">
        <v>187.1</v>
      </c>
      <c r="F277">
        <v>152.5</v>
      </c>
      <c r="G277">
        <v>153.6</v>
      </c>
      <c r="H277">
        <v>138.19999999999999</v>
      </c>
      <c r="I277">
        <v>150.9</v>
      </c>
      <c r="J277">
        <v>186.7</v>
      </c>
      <c r="K277">
        <v>149.80000000000001</v>
      </c>
      <c r="L277">
        <v>116.4</v>
      </c>
      <c r="M277">
        <v>160.30000000000001</v>
      </c>
      <c r="N277">
        <v>142.19999999999999</v>
      </c>
      <c r="O277">
        <v>162.9</v>
      </c>
      <c r="P277">
        <v>158</v>
      </c>
      <c r="Q277">
        <v>184.4</v>
      </c>
      <c r="R277">
        <v>153.4</v>
      </c>
      <c r="S277">
        <v>144.30000000000001</v>
      </c>
      <c r="T277">
        <v>152</v>
      </c>
      <c r="U277">
        <v>156.30000000000001</v>
      </c>
      <c r="V277">
        <v>142.9</v>
      </c>
      <c r="W277">
        <v>148.69999999999999</v>
      </c>
      <c r="X277">
        <v>155.6</v>
      </c>
      <c r="Y277">
        <v>139.6</v>
      </c>
      <c r="Z277">
        <v>146.6</v>
      </c>
      <c r="AA277">
        <v>157.5</v>
      </c>
      <c r="AB277">
        <v>158.4</v>
      </c>
      <c r="AC277">
        <v>150</v>
      </c>
      <c r="AD277">
        <v>154.69999999999999</v>
      </c>
    </row>
    <row r="278" spans="1:30" x14ac:dyDescent="0.25">
      <c r="A278" t="s">
        <v>30</v>
      </c>
      <c r="B278">
        <v>2020</v>
      </c>
      <c r="C278" t="s">
        <v>43</v>
      </c>
      <c r="D278">
        <v>146</v>
      </c>
      <c r="E278">
        <v>186.3</v>
      </c>
      <c r="F278">
        <v>159.19999999999999</v>
      </c>
      <c r="G278">
        <v>153.6</v>
      </c>
      <c r="H278">
        <v>142.6</v>
      </c>
      <c r="I278">
        <v>147.19999999999999</v>
      </c>
      <c r="J278">
        <v>200.6</v>
      </c>
      <c r="K278">
        <v>150.30000000000001</v>
      </c>
      <c r="L278">
        <v>115.3</v>
      </c>
      <c r="M278">
        <v>160.9</v>
      </c>
      <c r="N278">
        <v>147.4</v>
      </c>
      <c r="O278">
        <v>161.9</v>
      </c>
      <c r="P278">
        <v>159.6</v>
      </c>
      <c r="Q278">
        <v>182.7</v>
      </c>
      <c r="R278">
        <v>155.69999999999999</v>
      </c>
      <c r="S278">
        <v>150.6</v>
      </c>
      <c r="T278">
        <v>155</v>
      </c>
      <c r="U278" t="s">
        <v>32</v>
      </c>
      <c r="V278">
        <v>146.80000000000001</v>
      </c>
      <c r="W278">
        <v>152</v>
      </c>
      <c r="X278">
        <v>159.5</v>
      </c>
      <c r="Y278">
        <v>146.4</v>
      </c>
      <c r="Z278">
        <v>152.4</v>
      </c>
      <c r="AA278">
        <v>162.5</v>
      </c>
      <c r="AB278">
        <v>156.19999999999999</v>
      </c>
      <c r="AC278">
        <v>154.30000000000001</v>
      </c>
      <c r="AD278">
        <v>157.5</v>
      </c>
    </row>
    <row r="279" spans="1:30" x14ac:dyDescent="0.25">
      <c r="A279" t="s">
        <v>33</v>
      </c>
      <c r="B279">
        <v>2020</v>
      </c>
      <c r="C279" t="s">
        <v>43</v>
      </c>
      <c r="D279">
        <v>150.6</v>
      </c>
      <c r="E279">
        <v>193.7</v>
      </c>
      <c r="F279">
        <v>164.8</v>
      </c>
      <c r="G279">
        <v>153.69999999999999</v>
      </c>
      <c r="H279">
        <v>135.69999999999999</v>
      </c>
      <c r="I279">
        <v>155.69999999999999</v>
      </c>
      <c r="J279">
        <v>226</v>
      </c>
      <c r="K279">
        <v>152.19999999999999</v>
      </c>
      <c r="L279">
        <v>118.1</v>
      </c>
      <c r="M279">
        <v>161.30000000000001</v>
      </c>
      <c r="N279">
        <v>139.19999999999999</v>
      </c>
      <c r="O279">
        <v>164.8</v>
      </c>
      <c r="P279">
        <v>164.4</v>
      </c>
      <c r="Q279">
        <v>188.7</v>
      </c>
      <c r="R279">
        <v>150.5</v>
      </c>
      <c r="S279">
        <v>136.1</v>
      </c>
      <c r="T279">
        <v>148.30000000000001</v>
      </c>
      <c r="U279">
        <v>156.5</v>
      </c>
      <c r="V279">
        <v>137.1</v>
      </c>
      <c r="W279">
        <v>145.1</v>
      </c>
      <c r="X279">
        <v>151</v>
      </c>
      <c r="Y279">
        <v>135.4</v>
      </c>
      <c r="Z279">
        <v>142</v>
      </c>
      <c r="AA279">
        <v>155.69999999999999</v>
      </c>
      <c r="AB279">
        <v>158.1</v>
      </c>
      <c r="AC279">
        <v>146.19999999999999</v>
      </c>
      <c r="AD279">
        <v>155.19999999999999</v>
      </c>
    </row>
    <row r="280" spans="1:30" x14ac:dyDescent="0.25">
      <c r="A280" t="s">
        <v>34</v>
      </c>
      <c r="B280">
        <v>2020</v>
      </c>
      <c r="C280" t="s">
        <v>43</v>
      </c>
      <c r="D280">
        <v>147.5</v>
      </c>
      <c r="E280">
        <v>188.9</v>
      </c>
      <c r="F280">
        <v>161.4</v>
      </c>
      <c r="G280">
        <v>153.6</v>
      </c>
      <c r="H280">
        <v>140.1</v>
      </c>
      <c r="I280">
        <v>151.19999999999999</v>
      </c>
      <c r="J280">
        <v>209.2</v>
      </c>
      <c r="K280">
        <v>150.9</v>
      </c>
      <c r="L280">
        <v>116.2</v>
      </c>
      <c r="M280">
        <v>161</v>
      </c>
      <c r="N280">
        <v>144</v>
      </c>
      <c r="O280">
        <v>163.19999999999999</v>
      </c>
      <c r="P280">
        <v>161.4</v>
      </c>
      <c r="Q280">
        <v>184.3</v>
      </c>
      <c r="R280">
        <v>153.69999999999999</v>
      </c>
      <c r="S280">
        <v>144.6</v>
      </c>
      <c r="T280">
        <v>152.30000000000001</v>
      </c>
      <c r="U280">
        <v>156.5</v>
      </c>
      <c r="V280">
        <v>143.1</v>
      </c>
      <c r="W280">
        <v>148.69999999999999</v>
      </c>
      <c r="X280">
        <v>156.30000000000001</v>
      </c>
      <c r="Y280">
        <v>140.6</v>
      </c>
      <c r="Z280">
        <v>146.5</v>
      </c>
      <c r="AA280">
        <v>158.5</v>
      </c>
      <c r="AB280">
        <v>157</v>
      </c>
      <c r="AC280">
        <v>150.4</v>
      </c>
      <c r="AD280">
        <v>156.4</v>
      </c>
    </row>
    <row r="281" spans="1:30" x14ac:dyDescent="0.25">
      <c r="A281" t="s">
        <v>30</v>
      </c>
      <c r="B281">
        <v>2020</v>
      </c>
      <c r="C281" t="s">
        <v>45</v>
      </c>
      <c r="D281">
        <v>145.4</v>
      </c>
      <c r="E281">
        <v>188.6</v>
      </c>
      <c r="F281">
        <v>171.6</v>
      </c>
      <c r="G281">
        <v>153.80000000000001</v>
      </c>
      <c r="H281">
        <v>145.4</v>
      </c>
      <c r="I281">
        <v>146.5</v>
      </c>
      <c r="J281">
        <v>222.2</v>
      </c>
      <c r="K281">
        <v>155.9</v>
      </c>
      <c r="L281">
        <v>114.9</v>
      </c>
      <c r="M281">
        <v>162</v>
      </c>
      <c r="N281">
        <v>150</v>
      </c>
      <c r="O281">
        <v>162.69999999999999</v>
      </c>
      <c r="P281">
        <v>163.4</v>
      </c>
      <c r="Q281">
        <v>183.4</v>
      </c>
      <c r="R281">
        <v>156.30000000000001</v>
      </c>
      <c r="S281">
        <v>151</v>
      </c>
      <c r="T281">
        <v>155.5</v>
      </c>
      <c r="U281" t="s">
        <v>32</v>
      </c>
      <c r="V281">
        <v>147.5</v>
      </c>
      <c r="W281">
        <v>152.80000000000001</v>
      </c>
      <c r="X281">
        <v>160.4</v>
      </c>
      <c r="Y281">
        <v>146.1</v>
      </c>
      <c r="Z281">
        <v>153.6</v>
      </c>
      <c r="AA281">
        <v>161.6</v>
      </c>
      <c r="AB281">
        <v>156.19999999999999</v>
      </c>
      <c r="AC281">
        <v>154.5</v>
      </c>
      <c r="AD281">
        <v>159.80000000000001</v>
      </c>
    </row>
    <row r="282" spans="1:30" x14ac:dyDescent="0.25">
      <c r="A282" t="s">
        <v>33</v>
      </c>
      <c r="B282">
        <v>2020</v>
      </c>
      <c r="C282" t="s">
        <v>45</v>
      </c>
      <c r="D282">
        <v>149.69999999999999</v>
      </c>
      <c r="E282">
        <v>195.5</v>
      </c>
      <c r="F282">
        <v>176.9</v>
      </c>
      <c r="G282">
        <v>153.9</v>
      </c>
      <c r="H282">
        <v>138</v>
      </c>
      <c r="I282">
        <v>150.5</v>
      </c>
      <c r="J282">
        <v>245.3</v>
      </c>
      <c r="K282">
        <v>158.69999999999999</v>
      </c>
      <c r="L282">
        <v>117.2</v>
      </c>
      <c r="M282">
        <v>161.4</v>
      </c>
      <c r="N282">
        <v>141.5</v>
      </c>
      <c r="O282">
        <v>165.1</v>
      </c>
      <c r="P282">
        <v>167</v>
      </c>
      <c r="Q282">
        <v>188.8</v>
      </c>
      <c r="R282">
        <v>151.1</v>
      </c>
      <c r="S282">
        <v>136.4</v>
      </c>
      <c r="T282">
        <v>148.80000000000001</v>
      </c>
      <c r="U282">
        <v>158</v>
      </c>
      <c r="V282">
        <v>137.30000000000001</v>
      </c>
      <c r="W282">
        <v>145.1</v>
      </c>
      <c r="X282">
        <v>152</v>
      </c>
      <c r="Y282">
        <v>135.19999999999999</v>
      </c>
      <c r="Z282">
        <v>144.4</v>
      </c>
      <c r="AA282">
        <v>156.4</v>
      </c>
      <c r="AB282">
        <v>157.9</v>
      </c>
      <c r="AC282">
        <v>146.6</v>
      </c>
      <c r="AD282">
        <v>156.69999999999999</v>
      </c>
    </row>
    <row r="283" spans="1:30" x14ac:dyDescent="0.25">
      <c r="A283" t="s">
        <v>34</v>
      </c>
      <c r="B283">
        <v>2020</v>
      </c>
      <c r="C283" t="s">
        <v>45</v>
      </c>
      <c r="D283">
        <v>146.80000000000001</v>
      </c>
      <c r="E283">
        <v>191</v>
      </c>
      <c r="F283">
        <v>173.6</v>
      </c>
      <c r="G283">
        <v>153.80000000000001</v>
      </c>
      <c r="H283">
        <v>142.69999999999999</v>
      </c>
      <c r="I283">
        <v>148.4</v>
      </c>
      <c r="J283">
        <v>230</v>
      </c>
      <c r="K283">
        <v>156.80000000000001</v>
      </c>
      <c r="L283">
        <v>115.7</v>
      </c>
      <c r="M283">
        <v>161.80000000000001</v>
      </c>
      <c r="N283">
        <v>146.5</v>
      </c>
      <c r="O283">
        <v>163.80000000000001</v>
      </c>
      <c r="P283">
        <v>164.7</v>
      </c>
      <c r="Q283">
        <v>184.8</v>
      </c>
      <c r="R283">
        <v>154.30000000000001</v>
      </c>
      <c r="S283">
        <v>144.9</v>
      </c>
      <c r="T283">
        <v>152.80000000000001</v>
      </c>
      <c r="U283">
        <v>158</v>
      </c>
      <c r="V283">
        <v>143.6</v>
      </c>
      <c r="W283">
        <v>149.19999999999999</v>
      </c>
      <c r="X283">
        <v>157.19999999999999</v>
      </c>
      <c r="Y283">
        <v>140.4</v>
      </c>
      <c r="Z283">
        <v>148.4</v>
      </c>
      <c r="AA283">
        <v>158.6</v>
      </c>
      <c r="AB283">
        <v>156.9</v>
      </c>
      <c r="AC283">
        <v>150.69999999999999</v>
      </c>
      <c r="AD283">
        <v>158.4</v>
      </c>
    </row>
    <row r="284" spans="1:30" x14ac:dyDescent="0.25">
      <c r="A284" t="s">
        <v>30</v>
      </c>
      <c r="B284">
        <v>2020</v>
      </c>
      <c r="C284" t="s">
        <v>46</v>
      </c>
      <c r="D284">
        <v>144.6</v>
      </c>
      <c r="E284">
        <v>188.5</v>
      </c>
      <c r="F284">
        <v>173.4</v>
      </c>
      <c r="G284">
        <v>154</v>
      </c>
      <c r="H284">
        <v>150</v>
      </c>
      <c r="I284">
        <v>145.9</v>
      </c>
      <c r="J284">
        <v>225.2</v>
      </c>
      <c r="K284">
        <v>159.5</v>
      </c>
      <c r="L284">
        <v>114.4</v>
      </c>
      <c r="M284">
        <v>163.5</v>
      </c>
      <c r="N284">
        <v>153.4</v>
      </c>
      <c r="O284">
        <v>163.6</v>
      </c>
      <c r="P284">
        <v>164.5</v>
      </c>
      <c r="Q284">
        <v>183.6</v>
      </c>
      <c r="R284">
        <v>157</v>
      </c>
      <c r="S284">
        <v>151.6</v>
      </c>
      <c r="T284">
        <v>156.30000000000001</v>
      </c>
      <c r="U284" t="s">
        <v>32</v>
      </c>
      <c r="V284">
        <v>148.69999999999999</v>
      </c>
      <c r="W284">
        <v>153.4</v>
      </c>
      <c r="X284">
        <v>161.6</v>
      </c>
      <c r="Y284">
        <v>146.4</v>
      </c>
      <c r="Z284">
        <v>153.9</v>
      </c>
      <c r="AA284">
        <v>162.9</v>
      </c>
      <c r="AB284">
        <v>156.6</v>
      </c>
      <c r="AC284">
        <v>155.19999999999999</v>
      </c>
      <c r="AD284">
        <v>160.69999999999999</v>
      </c>
    </row>
    <row r="285" spans="1:30" x14ac:dyDescent="0.25">
      <c r="A285" t="s">
        <v>33</v>
      </c>
      <c r="B285">
        <v>2020</v>
      </c>
      <c r="C285" t="s">
        <v>46</v>
      </c>
      <c r="D285">
        <v>149</v>
      </c>
      <c r="E285">
        <v>195.7</v>
      </c>
      <c r="F285">
        <v>178.3</v>
      </c>
      <c r="G285">
        <v>154.19999999999999</v>
      </c>
      <c r="H285">
        <v>140.69999999999999</v>
      </c>
      <c r="I285">
        <v>149.69999999999999</v>
      </c>
      <c r="J285">
        <v>240.9</v>
      </c>
      <c r="K285">
        <v>161.5</v>
      </c>
      <c r="L285">
        <v>117.1</v>
      </c>
      <c r="M285">
        <v>161.9</v>
      </c>
      <c r="N285">
        <v>143.30000000000001</v>
      </c>
      <c r="O285">
        <v>166.1</v>
      </c>
      <c r="P285">
        <v>167</v>
      </c>
      <c r="Q285">
        <v>190.2</v>
      </c>
      <c r="R285">
        <v>151.9</v>
      </c>
      <c r="S285">
        <v>136.69999999999999</v>
      </c>
      <c r="T285">
        <v>149.6</v>
      </c>
      <c r="U285">
        <v>158.4</v>
      </c>
      <c r="V285">
        <v>137.9</v>
      </c>
      <c r="W285">
        <v>145.5</v>
      </c>
      <c r="X285">
        <v>152.9</v>
      </c>
      <c r="Y285">
        <v>135.5</v>
      </c>
      <c r="Z285">
        <v>144.30000000000001</v>
      </c>
      <c r="AA285">
        <v>156.9</v>
      </c>
      <c r="AB285">
        <v>157.9</v>
      </c>
      <c r="AC285">
        <v>146.9</v>
      </c>
      <c r="AD285">
        <v>156.9</v>
      </c>
    </row>
    <row r="286" spans="1:30" x14ac:dyDescent="0.25">
      <c r="A286" t="s">
        <v>34</v>
      </c>
      <c r="B286">
        <v>2020</v>
      </c>
      <c r="C286" t="s">
        <v>46</v>
      </c>
      <c r="D286">
        <v>146</v>
      </c>
      <c r="E286">
        <v>191</v>
      </c>
      <c r="F286">
        <v>175.3</v>
      </c>
      <c r="G286">
        <v>154.1</v>
      </c>
      <c r="H286">
        <v>146.6</v>
      </c>
      <c r="I286">
        <v>147.69999999999999</v>
      </c>
      <c r="J286">
        <v>230.5</v>
      </c>
      <c r="K286">
        <v>160.19999999999999</v>
      </c>
      <c r="L286">
        <v>115.3</v>
      </c>
      <c r="M286">
        <v>163</v>
      </c>
      <c r="N286">
        <v>149.19999999999999</v>
      </c>
      <c r="O286">
        <v>164.8</v>
      </c>
      <c r="P286">
        <v>165.4</v>
      </c>
      <c r="Q286">
        <v>185.4</v>
      </c>
      <c r="R286">
        <v>155</v>
      </c>
      <c r="S286">
        <v>145.4</v>
      </c>
      <c r="T286">
        <v>153.6</v>
      </c>
      <c r="U286">
        <v>158.4</v>
      </c>
      <c r="V286">
        <v>144.6</v>
      </c>
      <c r="W286">
        <v>149.69999999999999</v>
      </c>
      <c r="X286">
        <v>158.30000000000001</v>
      </c>
      <c r="Y286">
        <v>140.69999999999999</v>
      </c>
      <c r="Z286">
        <v>148.5</v>
      </c>
      <c r="AA286">
        <v>159.4</v>
      </c>
      <c r="AB286">
        <v>157.1</v>
      </c>
      <c r="AC286">
        <v>151.19999999999999</v>
      </c>
      <c r="AD286">
        <v>158.9</v>
      </c>
    </row>
    <row r="287" spans="1:30" x14ac:dyDescent="0.25">
      <c r="A287" t="s">
        <v>30</v>
      </c>
      <c r="B287">
        <v>2021</v>
      </c>
      <c r="C287" t="s">
        <v>31</v>
      </c>
      <c r="D287">
        <v>143.4</v>
      </c>
      <c r="E287">
        <v>187.5</v>
      </c>
      <c r="F287">
        <v>173.4</v>
      </c>
      <c r="G287">
        <v>154</v>
      </c>
      <c r="H287">
        <v>154.80000000000001</v>
      </c>
      <c r="I287">
        <v>147</v>
      </c>
      <c r="J287">
        <v>187.8</v>
      </c>
      <c r="K287">
        <v>159.5</v>
      </c>
      <c r="L287">
        <v>113.8</v>
      </c>
      <c r="M287">
        <v>164.5</v>
      </c>
      <c r="N287">
        <v>156.1</v>
      </c>
      <c r="O287">
        <v>164.3</v>
      </c>
      <c r="P287">
        <v>159.6</v>
      </c>
      <c r="Q287">
        <v>184.6</v>
      </c>
      <c r="R287">
        <v>157.5</v>
      </c>
      <c r="S287">
        <v>152.4</v>
      </c>
      <c r="T287">
        <v>156.80000000000001</v>
      </c>
      <c r="U287" t="s">
        <v>32</v>
      </c>
      <c r="V287">
        <v>150.9</v>
      </c>
      <c r="W287">
        <v>153.9</v>
      </c>
      <c r="X287">
        <v>162.5</v>
      </c>
      <c r="Y287">
        <v>147.5</v>
      </c>
      <c r="Z287">
        <v>155.1</v>
      </c>
      <c r="AA287">
        <v>163.5</v>
      </c>
      <c r="AB287">
        <v>156.19999999999999</v>
      </c>
      <c r="AC287">
        <v>155.9</v>
      </c>
      <c r="AD287">
        <v>158.5</v>
      </c>
    </row>
    <row r="288" spans="1:30" x14ac:dyDescent="0.25">
      <c r="A288" t="s">
        <v>33</v>
      </c>
      <c r="B288">
        <v>2021</v>
      </c>
      <c r="C288" t="s">
        <v>31</v>
      </c>
      <c r="D288">
        <v>148</v>
      </c>
      <c r="E288">
        <v>194.8</v>
      </c>
      <c r="F288">
        <v>178.4</v>
      </c>
      <c r="G288">
        <v>154.4</v>
      </c>
      <c r="H288">
        <v>144.1</v>
      </c>
      <c r="I288">
        <v>152.6</v>
      </c>
      <c r="J288">
        <v>206.8</v>
      </c>
      <c r="K288">
        <v>162.1</v>
      </c>
      <c r="L288">
        <v>116.3</v>
      </c>
      <c r="M288">
        <v>163</v>
      </c>
      <c r="N288">
        <v>145.9</v>
      </c>
      <c r="O288">
        <v>167.2</v>
      </c>
      <c r="P288">
        <v>163.4</v>
      </c>
      <c r="Q288">
        <v>191.8</v>
      </c>
      <c r="R288">
        <v>152.5</v>
      </c>
      <c r="S288">
        <v>137.30000000000001</v>
      </c>
      <c r="T288">
        <v>150.19999999999999</v>
      </c>
      <c r="U288">
        <v>157.69999999999999</v>
      </c>
      <c r="V288">
        <v>142.9</v>
      </c>
      <c r="W288">
        <v>145.69999999999999</v>
      </c>
      <c r="X288">
        <v>154.1</v>
      </c>
      <c r="Y288">
        <v>136.9</v>
      </c>
      <c r="Z288">
        <v>145.4</v>
      </c>
      <c r="AA288">
        <v>156.1</v>
      </c>
      <c r="AB288">
        <v>157.69999999999999</v>
      </c>
      <c r="AC288">
        <v>147.6</v>
      </c>
      <c r="AD288">
        <v>156</v>
      </c>
    </row>
    <row r="289" spans="1:30" x14ac:dyDescent="0.25">
      <c r="A289" t="s">
        <v>34</v>
      </c>
      <c r="B289">
        <v>2021</v>
      </c>
      <c r="C289" t="s">
        <v>31</v>
      </c>
      <c r="D289">
        <v>144.9</v>
      </c>
      <c r="E289">
        <v>190.1</v>
      </c>
      <c r="F289">
        <v>175.3</v>
      </c>
      <c r="G289">
        <v>154.1</v>
      </c>
      <c r="H289">
        <v>150.9</v>
      </c>
      <c r="I289">
        <v>149.6</v>
      </c>
      <c r="J289">
        <v>194.2</v>
      </c>
      <c r="K289">
        <v>160.4</v>
      </c>
      <c r="L289">
        <v>114.6</v>
      </c>
      <c r="M289">
        <v>164</v>
      </c>
      <c r="N289">
        <v>151.80000000000001</v>
      </c>
      <c r="O289">
        <v>165.6</v>
      </c>
      <c r="P289">
        <v>161</v>
      </c>
      <c r="Q289">
        <v>186.5</v>
      </c>
      <c r="R289">
        <v>155.5</v>
      </c>
      <c r="S289">
        <v>146.1</v>
      </c>
      <c r="T289">
        <v>154.19999999999999</v>
      </c>
      <c r="U289">
        <v>157.69999999999999</v>
      </c>
      <c r="V289">
        <v>147.9</v>
      </c>
      <c r="W289">
        <v>150</v>
      </c>
      <c r="X289">
        <v>159.30000000000001</v>
      </c>
      <c r="Y289">
        <v>141.9</v>
      </c>
      <c r="Z289">
        <v>149.6</v>
      </c>
      <c r="AA289">
        <v>159.19999999999999</v>
      </c>
      <c r="AB289">
        <v>156.80000000000001</v>
      </c>
      <c r="AC289">
        <v>151.9</v>
      </c>
      <c r="AD289">
        <v>157.30000000000001</v>
      </c>
    </row>
    <row r="290" spans="1:30" x14ac:dyDescent="0.25">
      <c r="A290" t="s">
        <v>30</v>
      </c>
      <c r="B290">
        <v>2021</v>
      </c>
      <c r="C290" t="s">
        <v>35</v>
      </c>
      <c r="D290">
        <v>142.80000000000001</v>
      </c>
      <c r="E290">
        <v>184</v>
      </c>
      <c r="F290">
        <v>168</v>
      </c>
      <c r="G290">
        <v>154.4</v>
      </c>
      <c r="H290">
        <v>163</v>
      </c>
      <c r="I290">
        <v>147.80000000000001</v>
      </c>
      <c r="J290">
        <v>149.69999999999999</v>
      </c>
      <c r="K290">
        <v>158.30000000000001</v>
      </c>
      <c r="L290">
        <v>111.8</v>
      </c>
      <c r="M290">
        <v>165</v>
      </c>
      <c r="N290">
        <v>160</v>
      </c>
      <c r="O290">
        <v>165.8</v>
      </c>
      <c r="P290">
        <v>154.69999999999999</v>
      </c>
      <c r="Q290">
        <v>186.5</v>
      </c>
      <c r="R290">
        <v>159.1</v>
      </c>
      <c r="S290">
        <v>153.9</v>
      </c>
      <c r="T290">
        <v>158.4</v>
      </c>
      <c r="U290" t="s">
        <v>32</v>
      </c>
      <c r="V290">
        <v>154.4</v>
      </c>
      <c r="W290">
        <v>154.80000000000001</v>
      </c>
      <c r="X290">
        <v>164.3</v>
      </c>
      <c r="Y290">
        <v>150.19999999999999</v>
      </c>
      <c r="Z290">
        <v>157</v>
      </c>
      <c r="AA290">
        <v>163.6</v>
      </c>
      <c r="AB290">
        <v>155.19999999999999</v>
      </c>
      <c r="AC290">
        <v>157.19999999999999</v>
      </c>
      <c r="AD290">
        <v>156.69999999999999</v>
      </c>
    </row>
    <row r="291" spans="1:30" x14ac:dyDescent="0.25">
      <c r="A291" t="s">
        <v>33</v>
      </c>
      <c r="B291">
        <v>2021</v>
      </c>
      <c r="C291" t="s">
        <v>35</v>
      </c>
      <c r="D291">
        <v>147.6</v>
      </c>
      <c r="E291">
        <v>191.2</v>
      </c>
      <c r="F291">
        <v>169.9</v>
      </c>
      <c r="G291">
        <v>155.1</v>
      </c>
      <c r="H291">
        <v>151.4</v>
      </c>
      <c r="I291">
        <v>154</v>
      </c>
      <c r="J291">
        <v>180.2</v>
      </c>
      <c r="K291">
        <v>159.80000000000001</v>
      </c>
      <c r="L291">
        <v>114.9</v>
      </c>
      <c r="M291">
        <v>162.5</v>
      </c>
      <c r="N291">
        <v>149.19999999999999</v>
      </c>
      <c r="O291">
        <v>169.4</v>
      </c>
      <c r="P291">
        <v>160.80000000000001</v>
      </c>
      <c r="Q291">
        <v>193.3</v>
      </c>
      <c r="R291">
        <v>154.19999999999999</v>
      </c>
      <c r="S291">
        <v>138.19999999999999</v>
      </c>
      <c r="T291">
        <v>151.80000000000001</v>
      </c>
      <c r="U291">
        <v>159.80000000000001</v>
      </c>
      <c r="V291">
        <v>149.1</v>
      </c>
      <c r="W291">
        <v>146.5</v>
      </c>
      <c r="X291">
        <v>156.30000000000001</v>
      </c>
      <c r="Y291">
        <v>140.5</v>
      </c>
      <c r="Z291">
        <v>147.30000000000001</v>
      </c>
      <c r="AA291">
        <v>156.6</v>
      </c>
      <c r="AB291">
        <v>156.69999999999999</v>
      </c>
      <c r="AC291">
        <v>149.30000000000001</v>
      </c>
      <c r="AD291">
        <v>156.5</v>
      </c>
    </row>
    <row r="292" spans="1:30" x14ac:dyDescent="0.25">
      <c r="A292" t="s">
        <v>34</v>
      </c>
      <c r="B292">
        <v>2021</v>
      </c>
      <c r="C292" t="s">
        <v>35</v>
      </c>
      <c r="D292">
        <v>144.30000000000001</v>
      </c>
      <c r="E292">
        <v>186.5</v>
      </c>
      <c r="F292">
        <v>168.7</v>
      </c>
      <c r="G292">
        <v>154.69999999999999</v>
      </c>
      <c r="H292">
        <v>158.69999999999999</v>
      </c>
      <c r="I292">
        <v>150.69999999999999</v>
      </c>
      <c r="J292">
        <v>160</v>
      </c>
      <c r="K292">
        <v>158.80000000000001</v>
      </c>
      <c r="L292">
        <v>112.8</v>
      </c>
      <c r="M292">
        <v>164.2</v>
      </c>
      <c r="N292">
        <v>155.5</v>
      </c>
      <c r="O292">
        <v>167.5</v>
      </c>
      <c r="P292">
        <v>156.9</v>
      </c>
      <c r="Q292">
        <v>188.3</v>
      </c>
      <c r="R292">
        <v>157.19999999999999</v>
      </c>
      <c r="S292">
        <v>147.4</v>
      </c>
      <c r="T292">
        <v>155.80000000000001</v>
      </c>
      <c r="U292">
        <v>159.80000000000001</v>
      </c>
      <c r="V292">
        <v>152.4</v>
      </c>
      <c r="W292">
        <v>150.9</v>
      </c>
      <c r="X292">
        <v>161.30000000000001</v>
      </c>
      <c r="Y292">
        <v>145.1</v>
      </c>
      <c r="Z292">
        <v>151.5</v>
      </c>
      <c r="AA292">
        <v>159.5</v>
      </c>
      <c r="AB292">
        <v>155.80000000000001</v>
      </c>
      <c r="AC292">
        <v>153.4</v>
      </c>
      <c r="AD292">
        <v>156.6</v>
      </c>
    </row>
    <row r="293" spans="1:30" x14ac:dyDescent="0.25">
      <c r="A293" t="s">
        <v>30</v>
      </c>
      <c r="B293">
        <v>2021</v>
      </c>
      <c r="C293" t="s">
        <v>36</v>
      </c>
      <c r="D293">
        <v>142.5</v>
      </c>
      <c r="E293">
        <v>189.4</v>
      </c>
      <c r="F293">
        <v>163.19999999999999</v>
      </c>
      <c r="G293">
        <v>154.5</v>
      </c>
      <c r="H293">
        <v>168.2</v>
      </c>
      <c r="I293">
        <v>150.5</v>
      </c>
      <c r="J293">
        <v>141</v>
      </c>
      <c r="K293">
        <v>159.19999999999999</v>
      </c>
      <c r="L293">
        <v>111.7</v>
      </c>
      <c r="M293">
        <v>164</v>
      </c>
      <c r="N293">
        <v>160.6</v>
      </c>
      <c r="O293">
        <v>166.4</v>
      </c>
      <c r="P293">
        <v>154.5</v>
      </c>
      <c r="Q293">
        <v>186.1</v>
      </c>
      <c r="R293">
        <v>159.6</v>
      </c>
      <c r="S293">
        <v>154.4</v>
      </c>
      <c r="T293">
        <v>158.9</v>
      </c>
      <c r="U293" t="s">
        <v>48</v>
      </c>
      <c r="V293">
        <v>156</v>
      </c>
      <c r="W293">
        <v>154.80000000000001</v>
      </c>
      <c r="X293">
        <v>164.6</v>
      </c>
      <c r="Y293">
        <v>151.30000000000001</v>
      </c>
      <c r="Z293">
        <v>157.80000000000001</v>
      </c>
      <c r="AA293">
        <v>163.80000000000001</v>
      </c>
      <c r="AB293">
        <v>153.1</v>
      </c>
      <c r="AC293">
        <v>157.30000000000001</v>
      </c>
      <c r="AD293">
        <v>156.69999999999999</v>
      </c>
    </row>
    <row r="294" spans="1:30" x14ac:dyDescent="0.25">
      <c r="A294" t="s">
        <v>33</v>
      </c>
      <c r="B294">
        <v>2021</v>
      </c>
      <c r="C294" t="s">
        <v>36</v>
      </c>
      <c r="D294">
        <v>147.5</v>
      </c>
      <c r="E294">
        <v>197.5</v>
      </c>
      <c r="F294">
        <v>164.7</v>
      </c>
      <c r="G294">
        <v>155.6</v>
      </c>
      <c r="H294">
        <v>156.4</v>
      </c>
      <c r="I294">
        <v>157.30000000000001</v>
      </c>
      <c r="J294">
        <v>166.1</v>
      </c>
      <c r="K294">
        <v>161.1</v>
      </c>
      <c r="L294">
        <v>114.3</v>
      </c>
      <c r="M294">
        <v>162.6</v>
      </c>
      <c r="N294">
        <v>150.69999999999999</v>
      </c>
      <c r="O294">
        <v>170.3</v>
      </c>
      <c r="P294">
        <v>160.4</v>
      </c>
      <c r="Q294">
        <v>193.5</v>
      </c>
      <c r="R294">
        <v>155.1</v>
      </c>
      <c r="S294">
        <v>138.69999999999999</v>
      </c>
      <c r="T294">
        <v>152.6</v>
      </c>
      <c r="U294">
        <v>159.9</v>
      </c>
      <c r="V294">
        <v>154.80000000000001</v>
      </c>
      <c r="W294">
        <v>147.19999999999999</v>
      </c>
      <c r="X294">
        <v>156.9</v>
      </c>
      <c r="Y294">
        <v>141.69999999999999</v>
      </c>
      <c r="Z294">
        <v>148.6</v>
      </c>
      <c r="AA294">
        <v>157.6</v>
      </c>
      <c r="AB294">
        <v>154.9</v>
      </c>
      <c r="AC294">
        <v>150</v>
      </c>
      <c r="AD294">
        <v>156.9</v>
      </c>
    </row>
    <row r="295" spans="1:30" x14ac:dyDescent="0.25">
      <c r="A295" t="s">
        <v>34</v>
      </c>
      <c r="B295">
        <v>2021</v>
      </c>
      <c r="C295" t="s">
        <v>36</v>
      </c>
      <c r="D295">
        <v>144.1</v>
      </c>
      <c r="E295">
        <v>192.2</v>
      </c>
      <c r="F295">
        <v>163.80000000000001</v>
      </c>
      <c r="G295">
        <v>154.9</v>
      </c>
      <c r="H295">
        <v>163.9</v>
      </c>
      <c r="I295">
        <v>153.69999999999999</v>
      </c>
      <c r="J295">
        <v>149.5</v>
      </c>
      <c r="K295">
        <v>159.80000000000001</v>
      </c>
      <c r="L295">
        <v>112.6</v>
      </c>
      <c r="M295">
        <v>163.5</v>
      </c>
      <c r="N295">
        <v>156.5</v>
      </c>
      <c r="O295">
        <v>168.2</v>
      </c>
      <c r="P295">
        <v>156.69999999999999</v>
      </c>
      <c r="Q295">
        <v>188.1</v>
      </c>
      <c r="R295">
        <v>157.80000000000001</v>
      </c>
      <c r="S295">
        <v>147.9</v>
      </c>
      <c r="T295">
        <v>156.4</v>
      </c>
      <c r="U295">
        <v>159.9</v>
      </c>
      <c r="V295">
        <v>155.5</v>
      </c>
      <c r="W295">
        <v>151.19999999999999</v>
      </c>
      <c r="X295">
        <v>161.69999999999999</v>
      </c>
      <c r="Y295">
        <v>146.19999999999999</v>
      </c>
      <c r="Z295">
        <v>152.6</v>
      </c>
      <c r="AA295">
        <v>160.19999999999999</v>
      </c>
      <c r="AB295">
        <v>153.80000000000001</v>
      </c>
      <c r="AC295">
        <v>153.80000000000001</v>
      </c>
      <c r="AD295">
        <v>156.80000000000001</v>
      </c>
    </row>
    <row r="296" spans="1:30" x14ac:dyDescent="0.25">
      <c r="A296" t="s">
        <v>30</v>
      </c>
      <c r="B296">
        <v>2021</v>
      </c>
      <c r="C296" t="s">
        <v>37</v>
      </c>
      <c r="D296">
        <v>142.69999999999999</v>
      </c>
      <c r="E296">
        <v>195.5</v>
      </c>
      <c r="F296">
        <v>163.4</v>
      </c>
      <c r="G296">
        <v>155</v>
      </c>
      <c r="H296">
        <v>175.2</v>
      </c>
      <c r="I296">
        <v>160.6</v>
      </c>
      <c r="J296">
        <v>135.1</v>
      </c>
      <c r="K296">
        <v>161.1</v>
      </c>
      <c r="L296">
        <v>112.2</v>
      </c>
      <c r="M296">
        <v>164.4</v>
      </c>
      <c r="N296">
        <v>161.9</v>
      </c>
      <c r="O296">
        <v>166.8</v>
      </c>
      <c r="P296">
        <v>155.6</v>
      </c>
      <c r="Q296">
        <v>186.8</v>
      </c>
      <c r="R296">
        <v>160.69999999999999</v>
      </c>
      <c r="S296">
        <v>155.1</v>
      </c>
      <c r="T296">
        <v>159.9</v>
      </c>
      <c r="U296" t="s">
        <v>48</v>
      </c>
      <c r="V296">
        <v>156</v>
      </c>
      <c r="W296">
        <v>155.5</v>
      </c>
      <c r="X296">
        <v>165.3</v>
      </c>
      <c r="Y296">
        <v>151.69999999999999</v>
      </c>
      <c r="Z296">
        <v>158.6</v>
      </c>
      <c r="AA296">
        <v>164.1</v>
      </c>
      <c r="AB296">
        <v>154.6</v>
      </c>
      <c r="AC296">
        <v>158</v>
      </c>
      <c r="AD296">
        <v>157.6</v>
      </c>
    </row>
    <row r="297" spans="1:30" x14ac:dyDescent="0.25">
      <c r="A297" t="s">
        <v>33</v>
      </c>
      <c r="B297">
        <v>2021</v>
      </c>
      <c r="C297" t="s">
        <v>37</v>
      </c>
      <c r="D297">
        <v>147.6</v>
      </c>
      <c r="E297">
        <v>202.5</v>
      </c>
      <c r="F297">
        <v>166.4</v>
      </c>
      <c r="G297">
        <v>156</v>
      </c>
      <c r="H297">
        <v>161.4</v>
      </c>
      <c r="I297">
        <v>168.8</v>
      </c>
      <c r="J297">
        <v>161.6</v>
      </c>
      <c r="K297">
        <v>162.80000000000001</v>
      </c>
      <c r="L297">
        <v>114.8</v>
      </c>
      <c r="M297">
        <v>162.80000000000001</v>
      </c>
      <c r="N297">
        <v>151.5</v>
      </c>
      <c r="O297">
        <v>171.4</v>
      </c>
      <c r="P297">
        <v>162</v>
      </c>
      <c r="Q297">
        <v>194.4</v>
      </c>
      <c r="R297">
        <v>155.9</v>
      </c>
      <c r="S297">
        <v>139.30000000000001</v>
      </c>
      <c r="T297">
        <v>153.4</v>
      </c>
      <c r="U297">
        <v>161.4</v>
      </c>
      <c r="V297">
        <v>154.9</v>
      </c>
      <c r="W297">
        <v>147.6</v>
      </c>
      <c r="X297">
        <v>157.5</v>
      </c>
      <c r="Y297">
        <v>142.1</v>
      </c>
      <c r="Z297">
        <v>149.1</v>
      </c>
      <c r="AA297">
        <v>157.6</v>
      </c>
      <c r="AB297">
        <v>156.6</v>
      </c>
      <c r="AC297">
        <v>150.5</v>
      </c>
      <c r="AD297">
        <v>158</v>
      </c>
    </row>
    <row r="298" spans="1:30" x14ac:dyDescent="0.25">
      <c r="A298" t="s">
        <v>34</v>
      </c>
      <c r="B298">
        <v>2021</v>
      </c>
      <c r="C298" t="s">
        <v>37</v>
      </c>
      <c r="D298">
        <v>144.30000000000001</v>
      </c>
      <c r="E298">
        <v>198</v>
      </c>
      <c r="F298">
        <v>164.6</v>
      </c>
      <c r="G298">
        <v>155.4</v>
      </c>
      <c r="H298">
        <v>170.1</v>
      </c>
      <c r="I298">
        <v>164.4</v>
      </c>
      <c r="J298">
        <v>144.1</v>
      </c>
      <c r="K298">
        <v>161.69999999999999</v>
      </c>
      <c r="L298">
        <v>113.1</v>
      </c>
      <c r="M298">
        <v>163.9</v>
      </c>
      <c r="N298">
        <v>157.6</v>
      </c>
      <c r="O298">
        <v>168.9</v>
      </c>
      <c r="P298">
        <v>158</v>
      </c>
      <c r="Q298">
        <v>188.8</v>
      </c>
      <c r="R298">
        <v>158.80000000000001</v>
      </c>
      <c r="S298">
        <v>148.5</v>
      </c>
      <c r="T298">
        <v>157.30000000000001</v>
      </c>
      <c r="U298">
        <v>161.4</v>
      </c>
      <c r="V298">
        <v>155.6</v>
      </c>
      <c r="W298">
        <v>151.80000000000001</v>
      </c>
      <c r="X298">
        <v>162.30000000000001</v>
      </c>
      <c r="Y298">
        <v>146.6</v>
      </c>
      <c r="Z298">
        <v>153.19999999999999</v>
      </c>
      <c r="AA298">
        <v>160.30000000000001</v>
      </c>
      <c r="AB298">
        <v>155.4</v>
      </c>
      <c r="AC298">
        <v>154.4</v>
      </c>
      <c r="AD298">
        <v>157.80000000000001</v>
      </c>
    </row>
    <row r="299" spans="1:30" x14ac:dyDescent="0.25">
      <c r="A299" t="s">
        <v>30</v>
      </c>
      <c r="B299">
        <v>2021</v>
      </c>
      <c r="C299" t="s">
        <v>38</v>
      </c>
      <c r="D299">
        <v>145.1</v>
      </c>
      <c r="E299">
        <v>198.5</v>
      </c>
      <c r="F299">
        <v>168.6</v>
      </c>
      <c r="G299">
        <v>155.80000000000001</v>
      </c>
      <c r="H299">
        <v>184.4</v>
      </c>
      <c r="I299">
        <v>162.30000000000001</v>
      </c>
      <c r="J299">
        <v>138.4</v>
      </c>
      <c r="K299">
        <v>165.1</v>
      </c>
      <c r="L299">
        <v>114.3</v>
      </c>
      <c r="M299">
        <v>169.7</v>
      </c>
      <c r="N299">
        <v>164.6</v>
      </c>
      <c r="O299">
        <v>169.8</v>
      </c>
      <c r="P299">
        <v>158.69999999999999</v>
      </c>
      <c r="Q299">
        <v>189.6</v>
      </c>
      <c r="R299">
        <v>165.3</v>
      </c>
      <c r="S299">
        <v>160.6</v>
      </c>
      <c r="T299">
        <v>164.5</v>
      </c>
      <c r="U299" t="s">
        <v>32</v>
      </c>
      <c r="V299">
        <v>161.69999999999999</v>
      </c>
      <c r="W299">
        <v>158.80000000000001</v>
      </c>
      <c r="X299">
        <v>169.1</v>
      </c>
      <c r="Y299">
        <v>153.19999999999999</v>
      </c>
      <c r="Z299">
        <v>160</v>
      </c>
      <c r="AA299">
        <v>167.6</v>
      </c>
      <c r="AB299">
        <v>159.30000000000001</v>
      </c>
      <c r="AC299">
        <v>161.1</v>
      </c>
      <c r="AD299">
        <v>161.1</v>
      </c>
    </row>
    <row r="300" spans="1:30" x14ac:dyDescent="0.25">
      <c r="A300" t="s">
        <v>33</v>
      </c>
      <c r="B300">
        <v>2021</v>
      </c>
      <c r="C300" t="s">
        <v>38</v>
      </c>
      <c r="D300">
        <v>148.80000000000001</v>
      </c>
      <c r="E300">
        <v>204.3</v>
      </c>
      <c r="F300">
        <v>173</v>
      </c>
      <c r="G300">
        <v>156.5</v>
      </c>
      <c r="H300">
        <v>168.8</v>
      </c>
      <c r="I300">
        <v>172.5</v>
      </c>
      <c r="J300">
        <v>166.5</v>
      </c>
      <c r="K300">
        <v>165.9</v>
      </c>
      <c r="L300">
        <v>115.9</v>
      </c>
      <c r="M300">
        <v>165.2</v>
      </c>
      <c r="N300">
        <v>152</v>
      </c>
      <c r="O300">
        <v>171.1</v>
      </c>
      <c r="P300">
        <v>164.2</v>
      </c>
      <c r="Q300">
        <v>198.2</v>
      </c>
      <c r="R300">
        <v>156.5</v>
      </c>
      <c r="S300">
        <v>140.19999999999999</v>
      </c>
      <c r="T300">
        <v>154.1</v>
      </c>
      <c r="U300">
        <v>161.6</v>
      </c>
      <c r="V300">
        <v>155.5</v>
      </c>
      <c r="W300">
        <v>150.1</v>
      </c>
      <c r="X300">
        <v>160.4</v>
      </c>
      <c r="Y300">
        <v>145</v>
      </c>
      <c r="Z300">
        <v>152.6</v>
      </c>
      <c r="AA300">
        <v>156.6</v>
      </c>
      <c r="AB300">
        <v>157.5</v>
      </c>
      <c r="AC300">
        <v>152.30000000000001</v>
      </c>
      <c r="AD300">
        <v>159.5</v>
      </c>
    </row>
    <row r="301" spans="1:30" x14ac:dyDescent="0.25">
      <c r="A301" t="s">
        <v>34</v>
      </c>
      <c r="B301">
        <v>2021</v>
      </c>
      <c r="C301" t="s">
        <v>38</v>
      </c>
      <c r="D301">
        <v>146.30000000000001</v>
      </c>
      <c r="E301">
        <v>200.5</v>
      </c>
      <c r="F301">
        <v>170.3</v>
      </c>
      <c r="G301">
        <v>156.1</v>
      </c>
      <c r="H301">
        <v>178.7</v>
      </c>
      <c r="I301">
        <v>167.1</v>
      </c>
      <c r="J301">
        <v>147.9</v>
      </c>
      <c r="K301">
        <v>165.4</v>
      </c>
      <c r="L301">
        <v>114.8</v>
      </c>
      <c r="M301">
        <v>168.2</v>
      </c>
      <c r="N301">
        <v>159.30000000000001</v>
      </c>
      <c r="O301">
        <v>170.4</v>
      </c>
      <c r="P301">
        <v>160.69999999999999</v>
      </c>
      <c r="Q301">
        <v>191.9</v>
      </c>
      <c r="R301">
        <v>161.80000000000001</v>
      </c>
      <c r="S301">
        <v>152.1</v>
      </c>
      <c r="T301">
        <v>160.4</v>
      </c>
      <c r="U301">
        <v>161.6</v>
      </c>
      <c r="V301">
        <v>159.4</v>
      </c>
      <c r="W301">
        <v>154.69999999999999</v>
      </c>
      <c r="X301">
        <v>165.8</v>
      </c>
      <c r="Y301">
        <v>148.9</v>
      </c>
      <c r="Z301">
        <v>155.80000000000001</v>
      </c>
      <c r="AA301">
        <v>161.19999999999999</v>
      </c>
      <c r="AB301">
        <v>158.6</v>
      </c>
      <c r="AC301">
        <v>156.80000000000001</v>
      </c>
      <c r="AD301">
        <v>160.4</v>
      </c>
    </row>
    <row r="302" spans="1:30" x14ac:dyDescent="0.25">
      <c r="A302" t="s">
        <v>30</v>
      </c>
      <c r="B302">
        <v>2021</v>
      </c>
      <c r="C302" t="s">
        <v>39</v>
      </c>
      <c r="D302">
        <v>145.6</v>
      </c>
      <c r="E302">
        <v>200.1</v>
      </c>
      <c r="F302">
        <v>179.3</v>
      </c>
      <c r="G302">
        <v>156.1</v>
      </c>
      <c r="H302">
        <v>190.4</v>
      </c>
      <c r="I302">
        <v>158.6</v>
      </c>
      <c r="J302">
        <v>144.69999999999999</v>
      </c>
      <c r="K302">
        <v>165.5</v>
      </c>
      <c r="L302">
        <v>114.6</v>
      </c>
      <c r="M302">
        <v>170</v>
      </c>
      <c r="N302">
        <v>165.5</v>
      </c>
      <c r="O302">
        <v>171.7</v>
      </c>
      <c r="P302">
        <v>160.5</v>
      </c>
      <c r="Q302">
        <v>189.1</v>
      </c>
      <c r="R302">
        <v>165.3</v>
      </c>
      <c r="S302">
        <v>159.9</v>
      </c>
      <c r="T302">
        <v>164.6</v>
      </c>
      <c r="U302" t="s">
        <v>32</v>
      </c>
      <c r="V302">
        <v>162.1</v>
      </c>
      <c r="W302">
        <v>159.19999999999999</v>
      </c>
      <c r="X302">
        <v>169.7</v>
      </c>
      <c r="Y302">
        <v>154.19999999999999</v>
      </c>
      <c r="Z302">
        <v>160.4</v>
      </c>
      <c r="AA302">
        <v>166.8</v>
      </c>
      <c r="AB302">
        <v>159.4</v>
      </c>
      <c r="AC302">
        <v>161.5</v>
      </c>
      <c r="AD302">
        <v>162.1</v>
      </c>
    </row>
    <row r="303" spans="1:30" x14ac:dyDescent="0.25">
      <c r="A303" t="s">
        <v>33</v>
      </c>
      <c r="B303">
        <v>2021</v>
      </c>
      <c r="C303" t="s">
        <v>39</v>
      </c>
      <c r="D303">
        <v>149.19999999999999</v>
      </c>
      <c r="E303">
        <v>205.5</v>
      </c>
      <c r="F303">
        <v>182.8</v>
      </c>
      <c r="G303">
        <v>156.5</v>
      </c>
      <c r="H303">
        <v>172.2</v>
      </c>
      <c r="I303">
        <v>171.5</v>
      </c>
      <c r="J303">
        <v>176.2</v>
      </c>
      <c r="K303">
        <v>166.9</v>
      </c>
      <c r="L303">
        <v>116.1</v>
      </c>
      <c r="M303">
        <v>165.5</v>
      </c>
      <c r="N303">
        <v>152.30000000000001</v>
      </c>
      <c r="O303">
        <v>173.3</v>
      </c>
      <c r="P303">
        <v>166.2</v>
      </c>
      <c r="Q303">
        <v>195.6</v>
      </c>
      <c r="R303">
        <v>157.30000000000001</v>
      </c>
      <c r="S303">
        <v>140.5</v>
      </c>
      <c r="T303">
        <v>154.80000000000001</v>
      </c>
      <c r="U303">
        <v>160.5</v>
      </c>
      <c r="V303">
        <v>156.1</v>
      </c>
      <c r="W303">
        <v>149.80000000000001</v>
      </c>
      <c r="X303">
        <v>160.80000000000001</v>
      </c>
      <c r="Y303">
        <v>147.5</v>
      </c>
      <c r="Z303">
        <v>150.69999999999999</v>
      </c>
      <c r="AA303">
        <v>158.1</v>
      </c>
      <c r="AB303">
        <v>158</v>
      </c>
      <c r="AC303">
        <v>153.4</v>
      </c>
      <c r="AD303">
        <v>160.4</v>
      </c>
    </row>
    <row r="304" spans="1:30" x14ac:dyDescent="0.25">
      <c r="A304" t="s">
        <v>34</v>
      </c>
      <c r="B304">
        <v>2021</v>
      </c>
      <c r="C304" t="s">
        <v>39</v>
      </c>
      <c r="D304">
        <v>146.69999999999999</v>
      </c>
      <c r="E304">
        <v>202</v>
      </c>
      <c r="F304">
        <v>180.7</v>
      </c>
      <c r="G304">
        <v>156.19999999999999</v>
      </c>
      <c r="H304">
        <v>183.7</v>
      </c>
      <c r="I304">
        <v>164.6</v>
      </c>
      <c r="J304">
        <v>155.4</v>
      </c>
      <c r="K304">
        <v>166</v>
      </c>
      <c r="L304">
        <v>115.1</v>
      </c>
      <c r="M304">
        <v>168.5</v>
      </c>
      <c r="N304">
        <v>160</v>
      </c>
      <c r="O304">
        <v>172.4</v>
      </c>
      <c r="P304">
        <v>162.6</v>
      </c>
      <c r="Q304">
        <v>190.8</v>
      </c>
      <c r="R304">
        <v>162.19999999999999</v>
      </c>
      <c r="S304">
        <v>151.80000000000001</v>
      </c>
      <c r="T304">
        <v>160.69999999999999</v>
      </c>
      <c r="U304">
        <v>160.5</v>
      </c>
      <c r="V304">
        <v>159.80000000000001</v>
      </c>
      <c r="W304">
        <v>154.80000000000001</v>
      </c>
      <c r="X304">
        <v>166.3</v>
      </c>
      <c r="Y304">
        <v>150.69999999999999</v>
      </c>
      <c r="Z304">
        <v>154.9</v>
      </c>
      <c r="AA304">
        <v>161.69999999999999</v>
      </c>
      <c r="AB304">
        <v>158.80000000000001</v>
      </c>
      <c r="AC304">
        <v>157.6</v>
      </c>
      <c r="AD304">
        <v>161.30000000000001</v>
      </c>
    </row>
    <row r="305" spans="1:30" x14ac:dyDescent="0.25">
      <c r="A305" t="s">
        <v>30</v>
      </c>
      <c r="B305">
        <v>2021</v>
      </c>
      <c r="C305" t="s">
        <v>40</v>
      </c>
      <c r="D305">
        <v>145.1</v>
      </c>
      <c r="E305">
        <v>204.5</v>
      </c>
      <c r="F305">
        <v>180.4</v>
      </c>
      <c r="G305">
        <v>157.1</v>
      </c>
      <c r="H305">
        <v>188.7</v>
      </c>
      <c r="I305">
        <v>157.69999999999999</v>
      </c>
      <c r="J305">
        <v>152.80000000000001</v>
      </c>
      <c r="K305">
        <v>163.6</v>
      </c>
      <c r="L305">
        <v>113.9</v>
      </c>
      <c r="M305">
        <v>169.7</v>
      </c>
      <c r="N305">
        <v>166.2</v>
      </c>
      <c r="O305">
        <v>171</v>
      </c>
      <c r="P305">
        <v>161.69999999999999</v>
      </c>
      <c r="Q305">
        <v>189.7</v>
      </c>
      <c r="R305">
        <v>166</v>
      </c>
      <c r="S305">
        <v>161.1</v>
      </c>
      <c r="T305">
        <v>165.3</v>
      </c>
      <c r="U305" t="s">
        <v>32</v>
      </c>
      <c r="V305">
        <v>162.5</v>
      </c>
      <c r="W305">
        <v>160.30000000000001</v>
      </c>
      <c r="X305">
        <v>170.4</v>
      </c>
      <c r="Y305">
        <v>157.1</v>
      </c>
      <c r="Z305">
        <v>160.69999999999999</v>
      </c>
      <c r="AA305">
        <v>167.2</v>
      </c>
      <c r="AB305">
        <v>160.4</v>
      </c>
      <c r="AC305">
        <v>162.80000000000001</v>
      </c>
      <c r="AD305">
        <v>163.19999999999999</v>
      </c>
    </row>
    <row r="306" spans="1:30" x14ac:dyDescent="0.25">
      <c r="A306" t="s">
        <v>33</v>
      </c>
      <c r="B306">
        <v>2021</v>
      </c>
      <c r="C306" t="s">
        <v>40</v>
      </c>
      <c r="D306">
        <v>149.1</v>
      </c>
      <c r="E306">
        <v>210.9</v>
      </c>
      <c r="F306">
        <v>185</v>
      </c>
      <c r="G306">
        <v>158.19999999999999</v>
      </c>
      <c r="H306">
        <v>170.6</v>
      </c>
      <c r="I306">
        <v>170.9</v>
      </c>
      <c r="J306">
        <v>186.4</v>
      </c>
      <c r="K306">
        <v>164.7</v>
      </c>
      <c r="L306">
        <v>115.7</v>
      </c>
      <c r="M306">
        <v>165.5</v>
      </c>
      <c r="N306">
        <v>153.4</v>
      </c>
      <c r="O306">
        <v>173.5</v>
      </c>
      <c r="P306">
        <v>167.9</v>
      </c>
      <c r="Q306">
        <v>195.5</v>
      </c>
      <c r="R306">
        <v>157.9</v>
      </c>
      <c r="S306">
        <v>141.9</v>
      </c>
      <c r="T306">
        <v>155.5</v>
      </c>
      <c r="U306">
        <v>161.5</v>
      </c>
      <c r="V306">
        <v>157.69999999999999</v>
      </c>
      <c r="W306">
        <v>150.69999999999999</v>
      </c>
      <c r="X306">
        <v>161.5</v>
      </c>
      <c r="Y306">
        <v>149.5</v>
      </c>
      <c r="Z306">
        <v>151.19999999999999</v>
      </c>
      <c r="AA306">
        <v>160.30000000000001</v>
      </c>
      <c r="AB306">
        <v>159.6</v>
      </c>
      <c r="AC306">
        <v>155</v>
      </c>
      <c r="AD306">
        <v>161.80000000000001</v>
      </c>
    </row>
    <row r="307" spans="1:30" x14ac:dyDescent="0.25">
      <c r="A307" t="s">
        <v>34</v>
      </c>
      <c r="B307">
        <v>2021</v>
      </c>
      <c r="C307" t="s">
        <v>40</v>
      </c>
      <c r="D307">
        <v>146.4</v>
      </c>
      <c r="E307">
        <v>206.8</v>
      </c>
      <c r="F307">
        <v>182.2</v>
      </c>
      <c r="G307">
        <v>157.5</v>
      </c>
      <c r="H307">
        <v>182.1</v>
      </c>
      <c r="I307">
        <v>163.9</v>
      </c>
      <c r="J307">
        <v>164.2</v>
      </c>
      <c r="K307">
        <v>164</v>
      </c>
      <c r="L307">
        <v>114.5</v>
      </c>
      <c r="M307">
        <v>168.3</v>
      </c>
      <c r="N307">
        <v>160.9</v>
      </c>
      <c r="O307">
        <v>172.2</v>
      </c>
      <c r="P307">
        <v>164</v>
      </c>
      <c r="Q307">
        <v>191.2</v>
      </c>
      <c r="R307">
        <v>162.80000000000001</v>
      </c>
      <c r="S307">
        <v>153.1</v>
      </c>
      <c r="T307">
        <v>161.4</v>
      </c>
      <c r="U307">
        <v>161.5</v>
      </c>
      <c r="V307">
        <v>160.69999999999999</v>
      </c>
      <c r="W307">
        <v>155.80000000000001</v>
      </c>
      <c r="X307">
        <v>167</v>
      </c>
      <c r="Y307">
        <v>153.1</v>
      </c>
      <c r="Z307">
        <v>155.30000000000001</v>
      </c>
      <c r="AA307">
        <v>163.19999999999999</v>
      </c>
      <c r="AB307">
        <v>160.1</v>
      </c>
      <c r="AC307">
        <v>159</v>
      </c>
      <c r="AD307">
        <v>162.5</v>
      </c>
    </row>
    <row r="308" spans="1:30" x14ac:dyDescent="0.25">
      <c r="A308" t="s">
        <v>30</v>
      </c>
      <c r="B308">
        <v>2021</v>
      </c>
      <c r="C308" t="s">
        <v>41</v>
      </c>
      <c r="D308">
        <v>144.9</v>
      </c>
      <c r="E308">
        <v>202.3</v>
      </c>
      <c r="F308">
        <v>176.5</v>
      </c>
      <c r="G308">
        <v>157.5</v>
      </c>
      <c r="H308">
        <v>190.9</v>
      </c>
      <c r="I308">
        <v>155.69999999999999</v>
      </c>
      <c r="J308">
        <v>153.9</v>
      </c>
      <c r="K308">
        <v>162.80000000000001</v>
      </c>
      <c r="L308">
        <v>115.2</v>
      </c>
      <c r="M308">
        <v>169.8</v>
      </c>
      <c r="N308">
        <v>167.6</v>
      </c>
      <c r="O308">
        <v>171.9</v>
      </c>
      <c r="P308">
        <v>161.80000000000001</v>
      </c>
      <c r="Q308">
        <v>190.2</v>
      </c>
      <c r="R308">
        <v>167</v>
      </c>
      <c r="S308">
        <v>162.6</v>
      </c>
      <c r="T308">
        <v>166.3</v>
      </c>
      <c r="U308" t="s">
        <v>32</v>
      </c>
      <c r="V308">
        <v>163.1</v>
      </c>
      <c r="W308">
        <v>160.9</v>
      </c>
      <c r="X308">
        <v>171.1</v>
      </c>
      <c r="Y308">
        <v>157.69999999999999</v>
      </c>
      <c r="Z308">
        <v>161.1</v>
      </c>
      <c r="AA308">
        <v>167.5</v>
      </c>
      <c r="AB308">
        <v>160.30000000000001</v>
      </c>
      <c r="AC308">
        <v>163.30000000000001</v>
      </c>
      <c r="AD308">
        <v>163.6</v>
      </c>
    </row>
    <row r="309" spans="1:30" x14ac:dyDescent="0.25">
      <c r="A309" t="s">
        <v>33</v>
      </c>
      <c r="B309">
        <v>2021</v>
      </c>
      <c r="C309" t="s">
        <v>41</v>
      </c>
      <c r="D309">
        <v>149.30000000000001</v>
      </c>
      <c r="E309">
        <v>207.4</v>
      </c>
      <c r="F309">
        <v>174.1</v>
      </c>
      <c r="G309">
        <v>159.19999999999999</v>
      </c>
      <c r="H309">
        <v>175</v>
      </c>
      <c r="I309">
        <v>161.30000000000001</v>
      </c>
      <c r="J309">
        <v>183.3</v>
      </c>
      <c r="K309">
        <v>164.5</v>
      </c>
      <c r="L309">
        <v>120.4</v>
      </c>
      <c r="M309">
        <v>166.2</v>
      </c>
      <c r="N309">
        <v>154.80000000000001</v>
      </c>
      <c r="O309">
        <v>175.1</v>
      </c>
      <c r="P309">
        <v>167.3</v>
      </c>
      <c r="Q309">
        <v>196.5</v>
      </c>
      <c r="R309">
        <v>159.80000000000001</v>
      </c>
      <c r="S309">
        <v>143.6</v>
      </c>
      <c r="T309">
        <v>157.30000000000001</v>
      </c>
      <c r="U309">
        <v>162.1</v>
      </c>
      <c r="V309">
        <v>160.69999999999999</v>
      </c>
      <c r="W309">
        <v>153.19999999999999</v>
      </c>
      <c r="X309">
        <v>162.80000000000001</v>
      </c>
      <c r="Y309">
        <v>150.4</v>
      </c>
      <c r="Z309">
        <v>153.69999999999999</v>
      </c>
      <c r="AA309">
        <v>160.4</v>
      </c>
      <c r="AB309">
        <v>159.6</v>
      </c>
      <c r="AC309">
        <v>156</v>
      </c>
      <c r="AD309">
        <v>162.30000000000001</v>
      </c>
    </row>
    <row r="310" spans="1:30" x14ac:dyDescent="0.25">
      <c r="A310" t="s">
        <v>34</v>
      </c>
      <c r="B310">
        <v>2021</v>
      </c>
      <c r="C310" t="s">
        <v>41</v>
      </c>
      <c r="D310">
        <v>146.6</v>
      </c>
      <c r="E310">
        <v>204</v>
      </c>
      <c r="F310">
        <v>172.8</v>
      </c>
      <c r="G310">
        <v>158.4</v>
      </c>
      <c r="H310">
        <v>188</v>
      </c>
      <c r="I310">
        <v>156.80000000000001</v>
      </c>
      <c r="J310">
        <v>162.19999999999999</v>
      </c>
      <c r="K310">
        <v>164.1</v>
      </c>
      <c r="L310">
        <v>119.7</v>
      </c>
      <c r="M310">
        <v>168.8</v>
      </c>
      <c r="N310">
        <v>162.69999999999999</v>
      </c>
      <c r="O310">
        <v>173.9</v>
      </c>
      <c r="P310">
        <v>164</v>
      </c>
      <c r="Q310">
        <v>192.1</v>
      </c>
      <c r="R310">
        <v>164.5</v>
      </c>
      <c r="S310">
        <v>155.30000000000001</v>
      </c>
      <c r="T310">
        <v>163.19999999999999</v>
      </c>
      <c r="U310">
        <v>162.1</v>
      </c>
      <c r="V310">
        <v>162.6</v>
      </c>
      <c r="W310">
        <v>157.5</v>
      </c>
      <c r="X310">
        <v>168.4</v>
      </c>
      <c r="Y310">
        <v>154</v>
      </c>
      <c r="Z310">
        <v>157.6</v>
      </c>
      <c r="AA310">
        <v>163.80000000000001</v>
      </c>
      <c r="AB310">
        <v>160</v>
      </c>
      <c r="AC310">
        <v>160</v>
      </c>
      <c r="AD310">
        <v>163.19999999999999</v>
      </c>
    </row>
    <row r="311" spans="1:30" x14ac:dyDescent="0.25">
      <c r="A311" t="s">
        <v>30</v>
      </c>
      <c r="B311">
        <v>2021</v>
      </c>
      <c r="C311" t="s">
        <v>42</v>
      </c>
      <c r="D311">
        <v>145.4</v>
      </c>
      <c r="E311">
        <v>202.1</v>
      </c>
      <c r="F311">
        <v>172</v>
      </c>
      <c r="G311">
        <v>158</v>
      </c>
      <c r="H311">
        <v>195.5</v>
      </c>
      <c r="I311">
        <v>152.69999999999999</v>
      </c>
      <c r="J311">
        <v>151.4</v>
      </c>
      <c r="K311">
        <v>163.9</v>
      </c>
      <c r="L311">
        <v>119.3</v>
      </c>
      <c r="M311">
        <v>170.1</v>
      </c>
      <c r="N311">
        <v>168.3</v>
      </c>
      <c r="O311">
        <v>172.8</v>
      </c>
      <c r="P311">
        <v>162.1</v>
      </c>
      <c r="Q311">
        <v>190.5</v>
      </c>
      <c r="R311">
        <v>167.7</v>
      </c>
      <c r="S311">
        <v>163.6</v>
      </c>
      <c r="T311">
        <v>167.1</v>
      </c>
      <c r="U311" t="s">
        <v>32</v>
      </c>
      <c r="V311">
        <v>163.69999999999999</v>
      </c>
      <c r="W311">
        <v>161.30000000000001</v>
      </c>
      <c r="X311">
        <v>171.9</v>
      </c>
      <c r="Y311">
        <v>157.80000000000001</v>
      </c>
      <c r="Z311">
        <v>162.69999999999999</v>
      </c>
      <c r="AA311">
        <v>168.5</v>
      </c>
      <c r="AB311">
        <v>160.19999999999999</v>
      </c>
      <c r="AC311">
        <v>163.80000000000001</v>
      </c>
      <c r="AD311">
        <v>164</v>
      </c>
    </row>
    <row r="312" spans="1:30" x14ac:dyDescent="0.25">
      <c r="A312" t="s">
        <v>33</v>
      </c>
      <c r="B312">
        <v>2021</v>
      </c>
      <c r="C312" t="s">
        <v>42</v>
      </c>
      <c r="D312">
        <v>149.30000000000001</v>
      </c>
      <c r="E312">
        <v>207.4</v>
      </c>
      <c r="F312">
        <v>174.1</v>
      </c>
      <c r="G312">
        <v>159.1</v>
      </c>
      <c r="H312">
        <v>175</v>
      </c>
      <c r="I312">
        <v>161.19999999999999</v>
      </c>
      <c r="J312">
        <v>183.5</v>
      </c>
      <c r="K312">
        <v>164.5</v>
      </c>
      <c r="L312">
        <v>120.4</v>
      </c>
      <c r="M312">
        <v>166.2</v>
      </c>
      <c r="N312">
        <v>154.80000000000001</v>
      </c>
      <c r="O312">
        <v>175.1</v>
      </c>
      <c r="P312">
        <v>167.3</v>
      </c>
      <c r="Q312">
        <v>196.5</v>
      </c>
      <c r="R312">
        <v>159.80000000000001</v>
      </c>
      <c r="S312">
        <v>143.6</v>
      </c>
      <c r="T312">
        <v>157.4</v>
      </c>
      <c r="U312">
        <v>162.1</v>
      </c>
      <c r="V312">
        <v>160.80000000000001</v>
      </c>
      <c r="W312">
        <v>153.30000000000001</v>
      </c>
      <c r="X312">
        <v>162.80000000000001</v>
      </c>
      <c r="Y312">
        <v>150.5</v>
      </c>
      <c r="Z312">
        <v>153.9</v>
      </c>
      <c r="AA312">
        <v>160.30000000000001</v>
      </c>
      <c r="AB312">
        <v>159.6</v>
      </c>
      <c r="AC312">
        <v>156</v>
      </c>
      <c r="AD312">
        <v>162.30000000000001</v>
      </c>
    </row>
    <row r="313" spans="1:30" x14ac:dyDescent="0.25">
      <c r="A313" t="s">
        <v>34</v>
      </c>
      <c r="B313">
        <v>2021</v>
      </c>
      <c r="C313" t="s">
        <v>42</v>
      </c>
      <c r="D313">
        <v>146.6</v>
      </c>
      <c r="E313">
        <v>204</v>
      </c>
      <c r="F313">
        <v>172.8</v>
      </c>
      <c r="G313">
        <v>158.4</v>
      </c>
      <c r="H313">
        <v>188</v>
      </c>
      <c r="I313">
        <v>156.69999999999999</v>
      </c>
      <c r="J313">
        <v>162.30000000000001</v>
      </c>
      <c r="K313">
        <v>164.1</v>
      </c>
      <c r="L313">
        <v>119.7</v>
      </c>
      <c r="M313">
        <v>168.8</v>
      </c>
      <c r="N313">
        <v>162.69999999999999</v>
      </c>
      <c r="O313">
        <v>173.9</v>
      </c>
      <c r="P313">
        <v>164</v>
      </c>
      <c r="Q313">
        <v>192.1</v>
      </c>
      <c r="R313">
        <v>164.6</v>
      </c>
      <c r="S313">
        <v>155.30000000000001</v>
      </c>
      <c r="T313">
        <v>163.30000000000001</v>
      </c>
      <c r="U313">
        <v>162.1</v>
      </c>
      <c r="V313">
        <v>162.6</v>
      </c>
      <c r="W313">
        <v>157.5</v>
      </c>
      <c r="X313">
        <v>168.4</v>
      </c>
      <c r="Y313">
        <v>154</v>
      </c>
      <c r="Z313">
        <v>157.69999999999999</v>
      </c>
      <c r="AA313">
        <v>163.69999999999999</v>
      </c>
      <c r="AB313">
        <v>160</v>
      </c>
      <c r="AC313">
        <v>160</v>
      </c>
      <c r="AD313">
        <v>163.19999999999999</v>
      </c>
    </row>
    <row r="314" spans="1:30" x14ac:dyDescent="0.25">
      <c r="A314" t="s">
        <v>30</v>
      </c>
      <c r="B314">
        <v>2021</v>
      </c>
      <c r="C314" t="s">
        <v>43</v>
      </c>
      <c r="D314">
        <v>146.1</v>
      </c>
      <c r="E314">
        <v>202.5</v>
      </c>
      <c r="F314">
        <v>170.1</v>
      </c>
      <c r="G314">
        <v>158.4</v>
      </c>
      <c r="H314">
        <v>198.8</v>
      </c>
      <c r="I314">
        <v>152.6</v>
      </c>
      <c r="J314">
        <v>170.4</v>
      </c>
      <c r="K314">
        <v>165.2</v>
      </c>
      <c r="L314">
        <v>121.6</v>
      </c>
      <c r="M314">
        <v>170.6</v>
      </c>
      <c r="N314">
        <v>168.8</v>
      </c>
      <c r="O314">
        <v>173.6</v>
      </c>
      <c r="P314">
        <v>165.5</v>
      </c>
      <c r="Q314">
        <v>191.2</v>
      </c>
      <c r="R314">
        <v>168.9</v>
      </c>
      <c r="S314">
        <v>164.8</v>
      </c>
      <c r="T314">
        <v>168.3</v>
      </c>
      <c r="U314" t="s">
        <v>32</v>
      </c>
      <c r="V314">
        <v>165.5</v>
      </c>
      <c r="W314">
        <v>162</v>
      </c>
      <c r="X314">
        <v>172.5</v>
      </c>
      <c r="Y314">
        <v>159.5</v>
      </c>
      <c r="Z314">
        <v>163.19999999999999</v>
      </c>
      <c r="AA314">
        <v>169</v>
      </c>
      <c r="AB314">
        <v>161.1</v>
      </c>
      <c r="AC314">
        <v>164.7</v>
      </c>
      <c r="AD314">
        <v>166.3</v>
      </c>
    </row>
    <row r="315" spans="1:30" x14ac:dyDescent="0.25">
      <c r="A315" t="s">
        <v>33</v>
      </c>
      <c r="B315">
        <v>2021</v>
      </c>
      <c r="C315" t="s">
        <v>43</v>
      </c>
      <c r="D315">
        <v>150.1</v>
      </c>
      <c r="E315">
        <v>208.4</v>
      </c>
      <c r="F315">
        <v>173</v>
      </c>
      <c r="G315">
        <v>159.19999999999999</v>
      </c>
      <c r="H315">
        <v>176.6</v>
      </c>
      <c r="I315">
        <v>159.30000000000001</v>
      </c>
      <c r="J315">
        <v>214.4</v>
      </c>
      <c r="K315">
        <v>165.3</v>
      </c>
      <c r="L315">
        <v>122.5</v>
      </c>
      <c r="M315">
        <v>166.8</v>
      </c>
      <c r="N315">
        <v>155.4</v>
      </c>
      <c r="O315">
        <v>175.9</v>
      </c>
      <c r="P315">
        <v>171.5</v>
      </c>
      <c r="Q315">
        <v>197</v>
      </c>
      <c r="R315">
        <v>160.80000000000001</v>
      </c>
      <c r="S315">
        <v>144.4</v>
      </c>
      <c r="T315">
        <v>158.30000000000001</v>
      </c>
      <c r="U315">
        <v>163.6</v>
      </c>
      <c r="V315">
        <v>162.19999999999999</v>
      </c>
      <c r="W315">
        <v>154.30000000000001</v>
      </c>
      <c r="X315">
        <v>163.5</v>
      </c>
      <c r="Y315">
        <v>152.19999999999999</v>
      </c>
      <c r="Z315">
        <v>155.1</v>
      </c>
      <c r="AA315">
        <v>160.30000000000001</v>
      </c>
      <c r="AB315">
        <v>160.30000000000001</v>
      </c>
      <c r="AC315">
        <v>157</v>
      </c>
      <c r="AD315">
        <v>164.6</v>
      </c>
    </row>
    <row r="316" spans="1:30" x14ac:dyDescent="0.25">
      <c r="A316" t="s">
        <v>34</v>
      </c>
      <c r="B316">
        <v>2021</v>
      </c>
      <c r="C316" t="s">
        <v>43</v>
      </c>
      <c r="D316">
        <v>147.4</v>
      </c>
      <c r="E316">
        <v>204.6</v>
      </c>
      <c r="F316">
        <v>171.2</v>
      </c>
      <c r="G316">
        <v>158.69999999999999</v>
      </c>
      <c r="H316">
        <v>190.6</v>
      </c>
      <c r="I316">
        <v>155.69999999999999</v>
      </c>
      <c r="J316">
        <v>185.3</v>
      </c>
      <c r="K316">
        <v>165.2</v>
      </c>
      <c r="L316">
        <v>121.9</v>
      </c>
      <c r="M316">
        <v>169.3</v>
      </c>
      <c r="N316">
        <v>163.19999999999999</v>
      </c>
      <c r="O316">
        <v>174.7</v>
      </c>
      <c r="P316">
        <v>167.7</v>
      </c>
      <c r="Q316">
        <v>192.7</v>
      </c>
      <c r="R316">
        <v>165.7</v>
      </c>
      <c r="S316">
        <v>156.30000000000001</v>
      </c>
      <c r="T316">
        <v>164.3</v>
      </c>
      <c r="U316">
        <v>163.6</v>
      </c>
      <c r="V316">
        <v>164.2</v>
      </c>
      <c r="W316">
        <v>158.4</v>
      </c>
      <c r="X316">
        <v>169.1</v>
      </c>
      <c r="Y316">
        <v>155.69999999999999</v>
      </c>
      <c r="Z316">
        <v>158.6</v>
      </c>
      <c r="AA316">
        <v>163.9</v>
      </c>
      <c r="AB316">
        <v>160.80000000000001</v>
      </c>
      <c r="AC316">
        <v>161</v>
      </c>
      <c r="AD316">
        <v>165.5</v>
      </c>
    </row>
    <row r="317" spans="1:30" x14ac:dyDescent="0.25">
      <c r="A317" t="s">
        <v>30</v>
      </c>
      <c r="B317">
        <v>2021</v>
      </c>
      <c r="C317" t="s">
        <v>45</v>
      </c>
      <c r="D317">
        <v>146.9</v>
      </c>
      <c r="E317">
        <v>199.8</v>
      </c>
      <c r="F317">
        <v>171.5</v>
      </c>
      <c r="G317">
        <v>159.1</v>
      </c>
      <c r="H317">
        <v>198.4</v>
      </c>
      <c r="I317">
        <v>153.19999999999999</v>
      </c>
      <c r="J317">
        <v>183.9</v>
      </c>
      <c r="K317">
        <v>165.4</v>
      </c>
      <c r="L317">
        <v>122.1</v>
      </c>
      <c r="M317">
        <v>170.8</v>
      </c>
      <c r="N317">
        <v>169.1</v>
      </c>
      <c r="O317">
        <v>174.3</v>
      </c>
      <c r="P317">
        <v>167.5</v>
      </c>
      <c r="Q317">
        <v>191.4</v>
      </c>
      <c r="R317">
        <v>170.4</v>
      </c>
      <c r="S317">
        <v>166</v>
      </c>
      <c r="T317">
        <v>169.8</v>
      </c>
      <c r="U317" t="s">
        <v>32</v>
      </c>
      <c r="V317">
        <v>165.3</v>
      </c>
      <c r="W317">
        <v>162.9</v>
      </c>
      <c r="X317">
        <v>173.4</v>
      </c>
      <c r="Y317">
        <v>158.9</v>
      </c>
      <c r="Z317">
        <v>163.80000000000001</v>
      </c>
      <c r="AA317">
        <v>169.3</v>
      </c>
      <c r="AB317">
        <v>162.4</v>
      </c>
      <c r="AC317">
        <v>165.2</v>
      </c>
      <c r="AD317">
        <v>167.6</v>
      </c>
    </row>
    <row r="318" spans="1:30" x14ac:dyDescent="0.25">
      <c r="A318" t="s">
        <v>33</v>
      </c>
      <c r="B318">
        <v>2021</v>
      </c>
      <c r="C318" t="s">
        <v>45</v>
      </c>
      <c r="D318">
        <v>151</v>
      </c>
      <c r="E318">
        <v>204.9</v>
      </c>
      <c r="F318">
        <v>175.4</v>
      </c>
      <c r="G318">
        <v>159.6</v>
      </c>
      <c r="H318">
        <v>175.8</v>
      </c>
      <c r="I318">
        <v>160.30000000000001</v>
      </c>
      <c r="J318">
        <v>229.1</v>
      </c>
      <c r="K318">
        <v>165.1</v>
      </c>
      <c r="L318">
        <v>123.1</v>
      </c>
      <c r="M318">
        <v>167.2</v>
      </c>
      <c r="N318">
        <v>156.1</v>
      </c>
      <c r="O318">
        <v>176.8</v>
      </c>
      <c r="P318">
        <v>173.5</v>
      </c>
      <c r="Q318">
        <v>197</v>
      </c>
      <c r="R318">
        <v>162.30000000000001</v>
      </c>
      <c r="S318">
        <v>145.30000000000001</v>
      </c>
      <c r="T318">
        <v>159.69999999999999</v>
      </c>
      <c r="U318">
        <v>164.2</v>
      </c>
      <c r="V318">
        <v>161.6</v>
      </c>
      <c r="W318">
        <v>155.19999999999999</v>
      </c>
      <c r="X318">
        <v>164.2</v>
      </c>
      <c r="Y318">
        <v>151.19999999999999</v>
      </c>
      <c r="Z318">
        <v>156.69999999999999</v>
      </c>
      <c r="AA318">
        <v>160.80000000000001</v>
      </c>
      <c r="AB318">
        <v>161.80000000000001</v>
      </c>
      <c r="AC318">
        <v>157.30000000000001</v>
      </c>
      <c r="AD318">
        <v>165.6</v>
      </c>
    </row>
    <row r="319" spans="1:30" x14ac:dyDescent="0.25">
      <c r="A319" t="s">
        <v>34</v>
      </c>
      <c r="B319">
        <v>2021</v>
      </c>
      <c r="C319" t="s">
        <v>45</v>
      </c>
      <c r="D319">
        <v>148.19999999999999</v>
      </c>
      <c r="E319">
        <v>201.6</v>
      </c>
      <c r="F319">
        <v>173</v>
      </c>
      <c r="G319">
        <v>159.30000000000001</v>
      </c>
      <c r="H319">
        <v>190.1</v>
      </c>
      <c r="I319">
        <v>156.5</v>
      </c>
      <c r="J319">
        <v>199.2</v>
      </c>
      <c r="K319">
        <v>165.3</v>
      </c>
      <c r="L319">
        <v>122.4</v>
      </c>
      <c r="M319">
        <v>169.6</v>
      </c>
      <c r="N319">
        <v>163.69999999999999</v>
      </c>
      <c r="O319">
        <v>175.5</v>
      </c>
      <c r="P319">
        <v>169.7</v>
      </c>
      <c r="Q319">
        <v>192.9</v>
      </c>
      <c r="R319">
        <v>167.2</v>
      </c>
      <c r="S319">
        <v>157.4</v>
      </c>
      <c r="T319">
        <v>165.8</v>
      </c>
      <c r="U319">
        <v>164.2</v>
      </c>
      <c r="V319">
        <v>163.9</v>
      </c>
      <c r="W319">
        <v>159.30000000000001</v>
      </c>
      <c r="X319">
        <v>169.9</v>
      </c>
      <c r="Y319">
        <v>154.80000000000001</v>
      </c>
      <c r="Z319">
        <v>159.80000000000001</v>
      </c>
      <c r="AA319">
        <v>164.3</v>
      </c>
      <c r="AB319">
        <v>162.19999999999999</v>
      </c>
      <c r="AC319">
        <v>161.4</v>
      </c>
      <c r="AD319">
        <v>166.7</v>
      </c>
    </row>
    <row r="320" spans="1:30" x14ac:dyDescent="0.25">
      <c r="A320" t="s">
        <v>30</v>
      </c>
      <c r="B320">
        <v>2021</v>
      </c>
      <c r="C320" t="s">
        <v>46</v>
      </c>
      <c r="D320">
        <v>147.4</v>
      </c>
      <c r="E320">
        <v>197</v>
      </c>
      <c r="F320">
        <v>176.5</v>
      </c>
      <c r="G320">
        <v>159.80000000000001</v>
      </c>
      <c r="H320">
        <v>195.8</v>
      </c>
      <c r="I320">
        <v>152</v>
      </c>
      <c r="J320">
        <v>172.3</v>
      </c>
      <c r="K320">
        <v>164.5</v>
      </c>
      <c r="L320">
        <v>120.6</v>
      </c>
      <c r="M320">
        <v>171.7</v>
      </c>
      <c r="N320">
        <v>169.7</v>
      </c>
      <c r="O320">
        <v>175.1</v>
      </c>
      <c r="P320">
        <v>165.8</v>
      </c>
      <c r="Q320">
        <v>190.8</v>
      </c>
      <c r="R320">
        <v>171.8</v>
      </c>
      <c r="S320">
        <v>167.3</v>
      </c>
      <c r="T320">
        <v>171.2</v>
      </c>
      <c r="U320" t="s">
        <v>32</v>
      </c>
      <c r="V320">
        <v>165.6</v>
      </c>
      <c r="W320">
        <v>163.9</v>
      </c>
      <c r="X320">
        <v>174</v>
      </c>
      <c r="Y320">
        <v>160.1</v>
      </c>
      <c r="Z320">
        <v>164.5</v>
      </c>
      <c r="AA320">
        <v>169.7</v>
      </c>
      <c r="AB320">
        <v>162.80000000000001</v>
      </c>
      <c r="AC320">
        <v>166</v>
      </c>
      <c r="AD320">
        <v>167</v>
      </c>
    </row>
    <row r="321" spans="1:30" x14ac:dyDescent="0.25">
      <c r="A321" t="s">
        <v>33</v>
      </c>
      <c r="B321">
        <v>2021</v>
      </c>
      <c r="C321" t="s">
        <v>46</v>
      </c>
      <c r="D321">
        <v>151.6</v>
      </c>
      <c r="E321">
        <v>202.2</v>
      </c>
      <c r="F321">
        <v>180</v>
      </c>
      <c r="G321">
        <v>160</v>
      </c>
      <c r="H321">
        <v>173.5</v>
      </c>
      <c r="I321">
        <v>158.30000000000001</v>
      </c>
      <c r="J321">
        <v>219.5</v>
      </c>
      <c r="K321">
        <v>164.2</v>
      </c>
      <c r="L321">
        <v>121.9</v>
      </c>
      <c r="M321">
        <v>168.2</v>
      </c>
      <c r="N321">
        <v>156.5</v>
      </c>
      <c r="O321">
        <v>178.2</v>
      </c>
      <c r="P321">
        <v>172.2</v>
      </c>
      <c r="Q321">
        <v>196.8</v>
      </c>
      <c r="R321">
        <v>163.30000000000001</v>
      </c>
      <c r="S321">
        <v>146.69999999999999</v>
      </c>
      <c r="T321">
        <v>160.69999999999999</v>
      </c>
      <c r="U321">
        <v>163.4</v>
      </c>
      <c r="V321">
        <v>161.69999999999999</v>
      </c>
      <c r="W321">
        <v>156</v>
      </c>
      <c r="X321">
        <v>165.1</v>
      </c>
      <c r="Y321">
        <v>151.80000000000001</v>
      </c>
      <c r="Z321">
        <v>157.6</v>
      </c>
      <c r="AA321">
        <v>160.6</v>
      </c>
      <c r="AB321">
        <v>162.4</v>
      </c>
      <c r="AC321">
        <v>157.80000000000001</v>
      </c>
      <c r="AD321">
        <v>165.2</v>
      </c>
    </row>
    <row r="322" spans="1:30" x14ac:dyDescent="0.25">
      <c r="A322" t="s">
        <v>34</v>
      </c>
      <c r="B322">
        <v>2021</v>
      </c>
      <c r="C322" t="s">
        <v>46</v>
      </c>
      <c r="D322">
        <v>148.69999999999999</v>
      </c>
      <c r="E322">
        <v>198.8</v>
      </c>
      <c r="F322">
        <v>177.9</v>
      </c>
      <c r="G322">
        <v>159.9</v>
      </c>
      <c r="H322">
        <v>187.6</v>
      </c>
      <c r="I322">
        <v>154.9</v>
      </c>
      <c r="J322">
        <v>188.3</v>
      </c>
      <c r="K322">
        <v>164.4</v>
      </c>
      <c r="L322">
        <v>121</v>
      </c>
      <c r="M322">
        <v>170.5</v>
      </c>
      <c r="N322">
        <v>164.2</v>
      </c>
      <c r="O322">
        <v>176.5</v>
      </c>
      <c r="P322">
        <v>168.2</v>
      </c>
      <c r="Q322">
        <v>192.4</v>
      </c>
      <c r="R322">
        <v>168.5</v>
      </c>
      <c r="S322">
        <v>158.69999999999999</v>
      </c>
      <c r="T322">
        <v>167</v>
      </c>
      <c r="U322">
        <v>163.4</v>
      </c>
      <c r="V322">
        <v>164.1</v>
      </c>
      <c r="W322">
        <v>160.19999999999999</v>
      </c>
      <c r="X322">
        <v>170.6</v>
      </c>
      <c r="Y322">
        <v>155.69999999999999</v>
      </c>
      <c r="Z322">
        <v>160.6</v>
      </c>
      <c r="AA322">
        <v>164.4</v>
      </c>
      <c r="AB322">
        <v>162.6</v>
      </c>
      <c r="AC322">
        <v>162</v>
      </c>
      <c r="AD322">
        <v>166.2</v>
      </c>
    </row>
    <row r="323" spans="1:30" x14ac:dyDescent="0.25">
      <c r="A323" t="s">
        <v>30</v>
      </c>
      <c r="B323">
        <v>2022</v>
      </c>
      <c r="C323" t="s">
        <v>31</v>
      </c>
      <c r="D323">
        <v>148.30000000000001</v>
      </c>
      <c r="E323">
        <v>196.9</v>
      </c>
      <c r="F323">
        <v>178</v>
      </c>
      <c r="G323">
        <v>160.5</v>
      </c>
      <c r="H323">
        <v>192.6</v>
      </c>
      <c r="I323">
        <v>151.19999999999999</v>
      </c>
      <c r="J323">
        <v>159.19999999999999</v>
      </c>
      <c r="K323">
        <v>164</v>
      </c>
      <c r="L323">
        <v>119.3</v>
      </c>
      <c r="M323">
        <v>173.3</v>
      </c>
      <c r="N323">
        <v>169.8</v>
      </c>
      <c r="O323">
        <v>175.8</v>
      </c>
      <c r="P323">
        <v>164.1</v>
      </c>
      <c r="Q323">
        <v>190.7</v>
      </c>
      <c r="R323">
        <v>173.2</v>
      </c>
      <c r="S323">
        <v>169.3</v>
      </c>
      <c r="T323">
        <v>172.7</v>
      </c>
      <c r="U323" t="s">
        <v>32</v>
      </c>
      <c r="V323">
        <v>165.8</v>
      </c>
      <c r="W323">
        <v>164.9</v>
      </c>
      <c r="X323">
        <v>174.7</v>
      </c>
      <c r="Y323">
        <v>160.80000000000001</v>
      </c>
      <c r="Z323">
        <v>164.9</v>
      </c>
      <c r="AA323">
        <v>169.9</v>
      </c>
      <c r="AB323">
        <v>163.19999999999999</v>
      </c>
      <c r="AC323">
        <v>166.6</v>
      </c>
      <c r="AD323">
        <v>166.4</v>
      </c>
    </row>
    <row r="324" spans="1:30" x14ac:dyDescent="0.25">
      <c r="A324" t="s">
        <v>33</v>
      </c>
      <c r="B324">
        <v>2022</v>
      </c>
      <c r="C324" t="s">
        <v>31</v>
      </c>
      <c r="D324">
        <v>152.19999999999999</v>
      </c>
      <c r="E324">
        <v>202.1</v>
      </c>
      <c r="F324">
        <v>180.1</v>
      </c>
      <c r="G324">
        <v>160.4</v>
      </c>
      <c r="H324">
        <v>171</v>
      </c>
      <c r="I324">
        <v>156.5</v>
      </c>
      <c r="J324">
        <v>203.6</v>
      </c>
      <c r="K324">
        <v>163.80000000000001</v>
      </c>
      <c r="L324">
        <v>121.3</v>
      </c>
      <c r="M324">
        <v>169.8</v>
      </c>
      <c r="N324">
        <v>156.6</v>
      </c>
      <c r="O324">
        <v>179</v>
      </c>
      <c r="P324">
        <v>170.3</v>
      </c>
      <c r="Q324">
        <v>196.4</v>
      </c>
      <c r="R324">
        <v>164.7</v>
      </c>
      <c r="S324">
        <v>148.5</v>
      </c>
      <c r="T324">
        <v>162.19999999999999</v>
      </c>
      <c r="U324">
        <v>164.5</v>
      </c>
      <c r="V324">
        <v>161.6</v>
      </c>
      <c r="W324">
        <v>156.80000000000001</v>
      </c>
      <c r="X324">
        <v>166.1</v>
      </c>
      <c r="Y324">
        <v>152.69999999999999</v>
      </c>
      <c r="Z324">
        <v>158.4</v>
      </c>
      <c r="AA324">
        <v>161</v>
      </c>
      <c r="AB324">
        <v>162.80000000000001</v>
      </c>
      <c r="AC324">
        <v>158.6</v>
      </c>
      <c r="AD324">
        <v>165</v>
      </c>
    </row>
    <row r="325" spans="1:30" x14ac:dyDescent="0.25">
      <c r="A325" t="s">
        <v>34</v>
      </c>
      <c r="B325">
        <v>2022</v>
      </c>
      <c r="C325" t="s">
        <v>31</v>
      </c>
      <c r="D325">
        <v>149.5</v>
      </c>
      <c r="E325">
        <v>198.7</v>
      </c>
      <c r="F325">
        <v>178.8</v>
      </c>
      <c r="G325">
        <v>160.5</v>
      </c>
      <c r="H325">
        <v>184.7</v>
      </c>
      <c r="I325">
        <v>153.69999999999999</v>
      </c>
      <c r="J325">
        <v>174.3</v>
      </c>
      <c r="K325">
        <v>163.9</v>
      </c>
      <c r="L325">
        <v>120</v>
      </c>
      <c r="M325">
        <v>172.1</v>
      </c>
      <c r="N325">
        <v>164.3</v>
      </c>
      <c r="O325">
        <v>177.3</v>
      </c>
      <c r="P325">
        <v>166.4</v>
      </c>
      <c r="Q325">
        <v>192.2</v>
      </c>
      <c r="R325">
        <v>169.9</v>
      </c>
      <c r="S325">
        <v>160.69999999999999</v>
      </c>
      <c r="T325">
        <v>168.5</v>
      </c>
      <c r="U325">
        <v>164.5</v>
      </c>
      <c r="V325">
        <v>164.2</v>
      </c>
      <c r="W325">
        <v>161.1</v>
      </c>
      <c r="X325">
        <v>171.4</v>
      </c>
      <c r="Y325">
        <v>156.5</v>
      </c>
      <c r="Z325">
        <v>161.19999999999999</v>
      </c>
      <c r="AA325">
        <v>164.7</v>
      </c>
      <c r="AB325">
        <v>163</v>
      </c>
      <c r="AC325">
        <v>162.69999999999999</v>
      </c>
      <c r="AD325">
        <v>165.7</v>
      </c>
    </row>
    <row r="326" spans="1:30" x14ac:dyDescent="0.25">
      <c r="A326" t="s">
        <v>30</v>
      </c>
      <c r="B326">
        <v>2022</v>
      </c>
      <c r="C326" t="s">
        <v>35</v>
      </c>
      <c r="D326">
        <v>148.80000000000001</v>
      </c>
      <c r="E326">
        <v>198.1</v>
      </c>
      <c r="F326">
        <v>175.5</v>
      </c>
      <c r="G326">
        <v>160.69999999999999</v>
      </c>
      <c r="H326">
        <v>192.6</v>
      </c>
      <c r="I326">
        <v>151.4</v>
      </c>
      <c r="J326">
        <v>155.19999999999999</v>
      </c>
      <c r="K326">
        <v>163.9</v>
      </c>
      <c r="L326">
        <v>118.1</v>
      </c>
      <c r="M326">
        <v>175.4</v>
      </c>
      <c r="N326">
        <v>170.5</v>
      </c>
      <c r="O326">
        <v>176.3</v>
      </c>
      <c r="P326">
        <v>163.9</v>
      </c>
      <c r="Q326">
        <v>191.5</v>
      </c>
      <c r="R326">
        <v>174.1</v>
      </c>
      <c r="S326">
        <v>171</v>
      </c>
      <c r="T326">
        <v>173.7</v>
      </c>
      <c r="U326" t="s">
        <v>32</v>
      </c>
      <c r="V326">
        <v>167.4</v>
      </c>
      <c r="W326">
        <v>165.7</v>
      </c>
      <c r="X326">
        <v>175.3</v>
      </c>
      <c r="Y326">
        <v>161.19999999999999</v>
      </c>
      <c r="Z326">
        <v>165.5</v>
      </c>
      <c r="AA326">
        <v>170.3</v>
      </c>
      <c r="AB326">
        <v>164.5</v>
      </c>
      <c r="AC326">
        <v>167.3</v>
      </c>
      <c r="AD326">
        <v>166.7</v>
      </c>
    </row>
    <row r="327" spans="1:30" x14ac:dyDescent="0.25">
      <c r="A327" t="s">
        <v>33</v>
      </c>
      <c r="B327">
        <v>2022</v>
      </c>
      <c r="C327" t="s">
        <v>35</v>
      </c>
      <c r="D327">
        <v>152.5</v>
      </c>
      <c r="E327">
        <v>205.2</v>
      </c>
      <c r="F327">
        <v>176.4</v>
      </c>
      <c r="G327">
        <v>160.6</v>
      </c>
      <c r="H327">
        <v>171.5</v>
      </c>
      <c r="I327">
        <v>156.4</v>
      </c>
      <c r="J327">
        <v>198</v>
      </c>
      <c r="K327">
        <v>163.19999999999999</v>
      </c>
      <c r="L327">
        <v>120.6</v>
      </c>
      <c r="M327">
        <v>172.2</v>
      </c>
      <c r="N327">
        <v>156.69999999999999</v>
      </c>
      <c r="O327">
        <v>180</v>
      </c>
      <c r="P327">
        <v>170.2</v>
      </c>
      <c r="Q327">
        <v>196.5</v>
      </c>
      <c r="R327">
        <v>165.7</v>
      </c>
      <c r="S327">
        <v>150.4</v>
      </c>
      <c r="T327">
        <v>163.4</v>
      </c>
      <c r="U327">
        <v>165.5</v>
      </c>
      <c r="V327">
        <v>163</v>
      </c>
      <c r="W327">
        <v>157.4</v>
      </c>
      <c r="X327">
        <v>167.2</v>
      </c>
      <c r="Y327">
        <v>153.1</v>
      </c>
      <c r="Z327">
        <v>159.5</v>
      </c>
      <c r="AA327">
        <v>162</v>
      </c>
      <c r="AB327">
        <v>164.2</v>
      </c>
      <c r="AC327">
        <v>159.4</v>
      </c>
      <c r="AD327">
        <v>165.5</v>
      </c>
    </row>
    <row r="328" spans="1:30" x14ac:dyDescent="0.25">
      <c r="A328" t="s">
        <v>34</v>
      </c>
      <c r="B328">
        <v>2022</v>
      </c>
      <c r="C328" t="s">
        <v>35</v>
      </c>
      <c r="D328">
        <v>150</v>
      </c>
      <c r="E328">
        <v>200.6</v>
      </c>
      <c r="F328">
        <v>175.8</v>
      </c>
      <c r="G328">
        <v>160.69999999999999</v>
      </c>
      <c r="H328">
        <v>184.9</v>
      </c>
      <c r="I328">
        <v>153.69999999999999</v>
      </c>
      <c r="J328">
        <v>169.7</v>
      </c>
      <c r="K328">
        <v>163.69999999999999</v>
      </c>
      <c r="L328">
        <v>118.9</v>
      </c>
      <c r="M328">
        <v>174.3</v>
      </c>
      <c r="N328">
        <v>164.7</v>
      </c>
      <c r="O328">
        <v>178</v>
      </c>
      <c r="P328">
        <v>166.2</v>
      </c>
      <c r="Q328">
        <v>192.8</v>
      </c>
      <c r="R328">
        <v>170.8</v>
      </c>
      <c r="S328">
        <v>162.4</v>
      </c>
      <c r="T328">
        <v>169.6</v>
      </c>
      <c r="U328">
        <v>165.5</v>
      </c>
      <c r="V328">
        <v>165.7</v>
      </c>
      <c r="W328">
        <v>161.80000000000001</v>
      </c>
      <c r="X328">
        <v>172.2</v>
      </c>
      <c r="Y328">
        <v>156.9</v>
      </c>
      <c r="Z328">
        <v>162.1</v>
      </c>
      <c r="AA328">
        <v>165.4</v>
      </c>
      <c r="AB328">
        <v>164.4</v>
      </c>
      <c r="AC328">
        <v>163.5</v>
      </c>
      <c r="AD328">
        <v>166.1</v>
      </c>
    </row>
    <row r="329" spans="1:30" x14ac:dyDescent="0.25">
      <c r="A329" t="s">
        <v>30</v>
      </c>
      <c r="B329">
        <v>2022</v>
      </c>
      <c r="C329" t="s">
        <v>36</v>
      </c>
      <c r="D329">
        <v>150.19999999999999</v>
      </c>
      <c r="E329">
        <v>208</v>
      </c>
      <c r="F329">
        <v>167.9</v>
      </c>
      <c r="G329">
        <v>162</v>
      </c>
      <c r="H329">
        <v>203.1</v>
      </c>
      <c r="I329">
        <v>155.9</v>
      </c>
      <c r="J329">
        <v>155.80000000000001</v>
      </c>
      <c r="K329">
        <v>164.2</v>
      </c>
      <c r="L329">
        <v>118.1</v>
      </c>
      <c r="M329">
        <v>178.7</v>
      </c>
      <c r="N329">
        <v>171.2</v>
      </c>
      <c r="O329">
        <v>177.4</v>
      </c>
      <c r="P329">
        <v>166.6</v>
      </c>
      <c r="Q329">
        <v>192.3</v>
      </c>
      <c r="R329">
        <v>175.4</v>
      </c>
      <c r="S329">
        <v>173.2</v>
      </c>
      <c r="T329">
        <v>175.1</v>
      </c>
      <c r="U329" t="s">
        <v>32</v>
      </c>
      <c r="V329">
        <v>168.9</v>
      </c>
      <c r="W329">
        <v>166.5</v>
      </c>
      <c r="X329">
        <v>176</v>
      </c>
      <c r="Y329">
        <v>162</v>
      </c>
      <c r="Z329">
        <v>166.6</v>
      </c>
      <c r="AA329">
        <v>170.6</v>
      </c>
      <c r="AB329">
        <v>167.4</v>
      </c>
      <c r="AC329">
        <v>168.3</v>
      </c>
      <c r="AD329">
        <v>168.7</v>
      </c>
    </row>
    <row r="330" spans="1:30" x14ac:dyDescent="0.25">
      <c r="A330" t="s">
        <v>33</v>
      </c>
      <c r="B330">
        <v>2022</v>
      </c>
      <c r="C330" t="s">
        <v>36</v>
      </c>
      <c r="D330">
        <v>153.69999999999999</v>
      </c>
      <c r="E330">
        <v>215.8</v>
      </c>
      <c r="F330">
        <v>167.7</v>
      </c>
      <c r="G330">
        <v>162.6</v>
      </c>
      <c r="H330">
        <v>180</v>
      </c>
      <c r="I330">
        <v>159.6</v>
      </c>
      <c r="J330">
        <v>188.4</v>
      </c>
      <c r="K330">
        <v>163.4</v>
      </c>
      <c r="L330">
        <v>120.3</v>
      </c>
      <c r="M330">
        <v>174.7</v>
      </c>
      <c r="N330">
        <v>157.1</v>
      </c>
      <c r="O330">
        <v>181.5</v>
      </c>
      <c r="P330">
        <v>171.5</v>
      </c>
      <c r="Q330">
        <v>197.5</v>
      </c>
      <c r="R330">
        <v>167.1</v>
      </c>
      <c r="S330">
        <v>152.6</v>
      </c>
      <c r="T330">
        <v>164.9</v>
      </c>
      <c r="U330">
        <v>165.3</v>
      </c>
      <c r="V330">
        <v>164.5</v>
      </c>
      <c r="W330">
        <v>158.6</v>
      </c>
      <c r="X330">
        <v>168.2</v>
      </c>
      <c r="Y330">
        <v>154.19999999999999</v>
      </c>
      <c r="Z330">
        <v>160.80000000000001</v>
      </c>
      <c r="AA330">
        <v>162.69999999999999</v>
      </c>
      <c r="AB330">
        <v>166.8</v>
      </c>
      <c r="AC330">
        <v>160.6</v>
      </c>
      <c r="AD330">
        <v>166.5</v>
      </c>
    </row>
    <row r="331" spans="1:30" x14ac:dyDescent="0.25">
      <c r="A331" t="s">
        <v>34</v>
      </c>
      <c r="B331">
        <v>2022</v>
      </c>
      <c r="C331" t="s">
        <v>36</v>
      </c>
      <c r="D331">
        <v>151.30000000000001</v>
      </c>
      <c r="E331">
        <v>210.7</v>
      </c>
      <c r="F331">
        <v>167.8</v>
      </c>
      <c r="G331">
        <v>162.19999999999999</v>
      </c>
      <c r="H331">
        <v>194.6</v>
      </c>
      <c r="I331">
        <v>157.6</v>
      </c>
      <c r="J331">
        <v>166.9</v>
      </c>
      <c r="K331">
        <v>163.9</v>
      </c>
      <c r="L331">
        <v>118.8</v>
      </c>
      <c r="M331">
        <v>177.4</v>
      </c>
      <c r="N331">
        <v>165.3</v>
      </c>
      <c r="O331">
        <v>179.3</v>
      </c>
      <c r="P331">
        <v>168.4</v>
      </c>
      <c r="Q331">
        <v>193.7</v>
      </c>
      <c r="R331">
        <v>172.1</v>
      </c>
      <c r="S331">
        <v>164.6</v>
      </c>
      <c r="T331">
        <v>171.1</v>
      </c>
      <c r="U331">
        <v>165.3</v>
      </c>
      <c r="V331">
        <v>167.2</v>
      </c>
      <c r="W331">
        <v>162.80000000000001</v>
      </c>
      <c r="X331">
        <v>173</v>
      </c>
      <c r="Y331">
        <v>157.9</v>
      </c>
      <c r="Z331">
        <v>163.30000000000001</v>
      </c>
      <c r="AA331">
        <v>166</v>
      </c>
      <c r="AB331">
        <v>167.2</v>
      </c>
      <c r="AC331">
        <v>164.6</v>
      </c>
      <c r="AD331">
        <v>167.7</v>
      </c>
    </row>
    <row r="332" spans="1:30" x14ac:dyDescent="0.25">
      <c r="A332" t="s">
        <v>30</v>
      </c>
      <c r="B332">
        <v>2022</v>
      </c>
      <c r="C332" t="s">
        <v>37</v>
      </c>
      <c r="D332">
        <v>151.80000000000001</v>
      </c>
      <c r="E332">
        <v>209.7</v>
      </c>
      <c r="F332">
        <v>164.5</v>
      </c>
      <c r="G332">
        <v>163.80000000000001</v>
      </c>
      <c r="H332">
        <v>207.4</v>
      </c>
      <c r="I332">
        <v>169.7</v>
      </c>
      <c r="J332">
        <v>153.6</v>
      </c>
      <c r="K332">
        <v>165.1</v>
      </c>
      <c r="L332">
        <v>118.2</v>
      </c>
      <c r="M332">
        <v>182.9</v>
      </c>
      <c r="N332">
        <v>172.4</v>
      </c>
      <c r="O332">
        <v>178.9</v>
      </c>
      <c r="P332">
        <v>168.6</v>
      </c>
      <c r="Q332">
        <v>192.8</v>
      </c>
      <c r="R332">
        <v>177.5</v>
      </c>
      <c r="S332">
        <v>175.1</v>
      </c>
      <c r="T332">
        <v>177.1</v>
      </c>
      <c r="U332" t="s">
        <v>32</v>
      </c>
      <c r="V332">
        <v>173.3</v>
      </c>
      <c r="W332">
        <v>167.7</v>
      </c>
      <c r="X332">
        <v>177</v>
      </c>
      <c r="Y332">
        <v>166.2</v>
      </c>
      <c r="Z332">
        <v>167.2</v>
      </c>
      <c r="AA332">
        <v>170.9</v>
      </c>
      <c r="AB332">
        <v>169</v>
      </c>
      <c r="AC332">
        <v>170.2</v>
      </c>
      <c r="AD332">
        <v>170.8</v>
      </c>
    </row>
    <row r="333" spans="1:30" x14ac:dyDescent="0.25">
      <c r="A333" t="s">
        <v>33</v>
      </c>
      <c r="B333">
        <v>2022</v>
      </c>
      <c r="C333" t="s">
        <v>37</v>
      </c>
      <c r="D333">
        <v>155.4</v>
      </c>
      <c r="E333">
        <v>215.8</v>
      </c>
      <c r="F333">
        <v>164.6</v>
      </c>
      <c r="G333">
        <v>164.2</v>
      </c>
      <c r="H333">
        <v>186</v>
      </c>
      <c r="I333">
        <v>175.9</v>
      </c>
      <c r="J333">
        <v>190.7</v>
      </c>
      <c r="K333">
        <v>164</v>
      </c>
      <c r="L333">
        <v>120.5</v>
      </c>
      <c r="M333">
        <v>178</v>
      </c>
      <c r="N333">
        <v>157.5</v>
      </c>
      <c r="O333">
        <v>183.3</v>
      </c>
      <c r="P333">
        <v>174.5</v>
      </c>
      <c r="Q333">
        <v>197.1</v>
      </c>
      <c r="R333">
        <v>168.4</v>
      </c>
      <c r="S333">
        <v>154.5</v>
      </c>
      <c r="T333">
        <v>166.3</v>
      </c>
      <c r="U333">
        <v>167</v>
      </c>
      <c r="V333">
        <v>170.5</v>
      </c>
      <c r="W333">
        <v>159.80000000000001</v>
      </c>
      <c r="X333">
        <v>169</v>
      </c>
      <c r="Y333">
        <v>159.30000000000001</v>
      </c>
      <c r="Z333">
        <v>162.19999999999999</v>
      </c>
      <c r="AA333">
        <v>164</v>
      </c>
      <c r="AB333">
        <v>168.4</v>
      </c>
      <c r="AC333">
        <v>163.1</v>
      </c>
      <c r="AD333">
        <v>169.2</v>
      </c>
    </row>
    <row r="334" spans="1:30" x14ac:dyDescent="0.25">
      <c r="A334" t="s">
        <v>34</v>
      </c>
      <c r="B334">
        <v>2022</v>
      </c>
      <c r="C334" t="s">
        <v>37</v>
      </c>
      <c r="D334">
        <v>152.9</v>
      </c>
      <c r="E334">
        <v>211.8</v>
      </c>
      <c r="F334">
        <v>164.5</v>
      </c>
      <c r="G334">
        <v>163.9</v>
      </c>
      <c r="H334">
        <v>199.5</v>
      </c>
      <c r="I334">
        <v>172.6</v>
      </c>
      <c r="J334">
        <v>166.2</v>
      </c>
      <c r="K334">
        <v>164.7</v>
      </c>
      <c r="L334">
        <v>119</v>
      </c>
      <c r="M334">
        <v>181.3</v>
      </c>
      <c r="N334">
        <v>166.2</v>
      </c>
      <c r="O334">
        <v>180.9</v>
      </c>
      <c r="P334">
        <v>170.8</v>
      </c>
      <c r="Q334">
        <v>193.9</v>
      </c>
      <c r="R334">
        <v>173.9</v>
      </c>
      <c r="S334">
        <v>166.5</v>
      </c>
      <c r="T334">
        <v>172.8</v>
      </c>
      <c r="U334">
        <v>167</v>
      </c>
      <c r="V334">
        <v>172.2</v>
      </c>
      <c r="W334">
        <v>164</v>
      </c>
      <c r="X334">
        <v>174</v>
      </c>
      <c r="Y334">
        <v>162.6</v>
      </c>
      <c r="Z334">
        <v>164.4</v>
      </c>
      <c r="AA334">
        <v>166.9</v>
      </c>
      <c r="AB334">
        <v>168.8</v>
      </c>
      <c r="AC334">
        <v>166.8</v>
      </c>
      <c r="AD334">
        <v>170.1</v>
      </c>
    </row>
    <row r="335" spans="1:30" x14ac:dyDescent="0.25">
      <c r="A335" t="s">
        <v>30</v>
      </c>
      <c r="B335">
        <v>2022</v>
      </c>
      <c r="C335" t="s">
        <v>38</v>
      </c>
      <c r="D335">
        <v>152.9</v>
      </c>
      <c r="E335">
        <v>214.7</v>
      </c>
      <c r="F335">
        <v>161.4</v>
      </c>
      <c r="G335">
        <v>164.6</v>
      </c>
      <c r="H335">
        <v>209.9</v>
      </c>
      <c r="I335">
        <v>168</v>
      </c>
      <c r="J335">
        <v>160.4</v>
      </c>
      <c r="K335">
        <v>165</v>
      </c>
      <c r="L335">
        <v>118.9</v>
      </c>
      <c r="M335">
        <v>186.6</v>
      </c>
      <c r="N335">
        <v>173.2</v>
      </c>
      <c r="O335">
        <v>180.4</v>
      </c>
      <c r="P335">
        <v>170.8</v>
      </c>
      <c r="Q335">
        <v>192.9</v>
      </c>
      <c r="R335">
        <v>179.3</v>
      </c>
      <c r="S335">
        <v>177.2</v>
      </c>
      <c r="T335">
        <v>179</v>
      </c>
      <c r="U335" t="s">
        <v>32</v>
      </c>
      <c r="V335">
        <v>175.3</v>
      </c>
      <c r="W335">
        <v>168.9</v>
      </c>
      <c r="X335">
        <v>177.7</v>
      </c>
      <c r="Y335">
        <v>167.1</v>
      </c>
      <c r="Z335">
        <v>167.6</v>
      </c>
      <c r="AA335">
        <v>171.8</v>
      </c>
      <c r="AB335">
        <v>168.5</v>
      </c>
      <c r="AC335">
        <v>170.9</v>
      </c>
      <c r="AD335">
        <v>172.5</v>
      </c>
    </row>
    <row r="336" spans="1:30" x14ac:dyDescent="0.25">
      <c r="A336" t="s">
        <v>33</v>
      </c>
      <c r="B336">
        <v>2022</v>
      </c>
      <c r="C336" t="s">
        <v>38</v>
      </c>
      <c r="D336">
        <v>156.69999999999999</v>
      </c>
      <c r="E336">
        <v>221.2</v>
      </c>
      <c r="F336">
        <v>164.1</v>
      </c>
      <c r="G336">
        <v>165.4</v>
      </c>
      <c r="H336">
        <v>189.5</v>
      </c>
      <c r="I336">
        <v>174.5</v>
      </c>
      <c r="J336">
        <v>203.2</v>
      </c>
      <c r="K336">
        <v>164.1</v>
      </c>
      <c r="L336">
        <v>121.2</v>
      </c>
      <c r="M336">
        <v>181.4</v>
      </c>
      <c r="N336">
        <v>158.5</v>
      </c>
      <c r="O336">
        <v>184.9</v>
      </c>
      <c r="P336">
        <v>177.5</v>
      </c>
      <c r="Q336">
        <v>197.5</v>
      </c>
      <c r="R336">
        <v>170</v>
      </c>
      <c r="S336">
        <v>155.9</v>
      </c>
      <c r="T336">
        <v>167.8</v>
      </c>
      <c r="U336">
        <v>167.5</v>
      </c>
      <c r="V336">
        <v>173.5</v>
      </c>
      <c r="W336">
        <v>161.1</v>
      </c>
      <c r="X336">
        <v>170.1</v>
      </c>
      <c r="Y336">
        <v>159.4</v>
      </c>
      <c r="Z336">
        <v>163.19999999999999</v>
      </c>
      <c r="AA336">
        <v>165.2</v>
      </c>
      <c r="AB336">
        <v>168.2</v>
      </c>
      <c r="AC336">
        <v>163.80000000000001</v>
      </c>
      <c r="AD336">
        <v>170.8</v>
      </c>
    </row>
    <row r="337" spans="1:30" x14ac:dyDescent="0.25">
      <c r="A337" t="s">
        <v>34</v>
      </c>
      <c r="B337">
        <v>2022</v>
      </c>
      <c r="C337" t="s">
        <v>38</v>
      </c>
      <c r="D337">
        <v>154.1</v>
      </c>
      <c r="E337">
        <v>217</v>
      </c>
      <c r="F337">
        <v>162.4</v>
      </c>
      <c r="G337">
        <v>164.9</v>
      </c>
      <c r="H337">
        <v>202.4</v>
      </c>
      <c r="I337">
        <v>171</v>
      </c>
      <c r="J337">
        <v>174.9</v>
      </c>
      <c r="K337">
        <v>164.7</v>
      </c>
      <c r="L337">
        <v>119.7</v>
      </c>
      <c r="M337">
        <v>184.9</v>
      </c>
      <c r="N337">
        <v>167.1</v>
      </c>
      <c r="O337">
        <v>182.5</v>
      </c>
      <c r="P337">
        <v>173.3</v>
      </c>
      <c r="Q337">
        <v>194.1</v>
      </c>
      <c r="R337">
        <v>175.6</v>
      </c>
      <c r="S337">
        <v>168.4</v>
      </c>
      <c r="T337">
        <v>174.6</v>
      </c>
      <c r="U337">
        <v>167.5</v>
      </c>
      <c r="V337">
        <v>174.6</v>
      </c>
      <c r="W337">
        <v>165.2</v>
      </c>
      <c r="X337">
        <v>174.8</v>
      </c>
      <c r="Y337">
        <v>163</v>
      </c>
      <c r="Z337">
        <v>165.1</v>
      </c>
      <c r="AA337">
        <v>167.9</v>
      </c>
      <c r="AB337">
        <v>168.4</v>
      </c>
      <c r="AC337">
        <v>167.5</v>
      </c>
      <c r="AD337">
        <v>171.7</v>
      </c>
    </row>
    <row r="338" spans="1:30" x14ac:dyDescent="0.25">
      <c r="A338" t="s">
        <v>30</v>
      </c>
      <c r="B338">
        <v>2022</v>
      </c>
      <c r="C338" t="s">
        <v>39</v>
      </c>
      <c r="D338">
        <v>153.80000000000001</v>
      </c>
      <c r="E338">
        <v>217.2</v>
      </c>
      <c r="F338">
        <v>169.6</v>
      </c>
      <c r="G338">
        <v>165.4</v>
      </c>
      <c r="H338">
        <v>208.1</v>
      </c>
      <c r="I338">
        <v>165.8</v>
      </c>
      <c r="J338">
        <v>167.3</v>
      </c>
      <c r="K338">
        <v>164.6</v>
      </c>
      <c r="L338">
        <v>119.1</v>
      </c>
      <c r="M338">
        <v>188.9</v>
      </c>
      <c r="N338">
        <v>174.2</v>
      </c>
      <c r="O338">
        <v>181.9</v>
      </c>
      <c r="P338">
        <v>172.4</v>
      </c>
      <c r="Q338">
        <v>192.9</v>
      </c>
      <c r="R338">
        <v>180.7</v>
      </c>
      <c r="S338">
        <v>178.7</v>
      </c>
      <c r="T338">
        <v>180.4</v>
      </c>
      <c r="U338" t="s">
        <v>32</v>
      </c>
      <c r="V338">
        <v>176.7</v>
      </c>
      <c r="W338">
        <v>170.3</v>
      </c>
      <c r="X338">
        <v>178.2</v>
      </c>
      <c r="Y338">
        <v>165.5</v>
      </c>
      <c r="Z338">
        <v>168</v>
      </c>
      <c r="AA338">
        <v>172.6</v>
      </c>
      <c r="AB338">
        <v>169.5</v>
      </c>
      <c r="AC338">
        <v>171</v>
      </c>
      <c r="AD338">
        <v>173.6</v>
      </c>
    </row>
    <row r="339" spans="1:30" x14ac:dyDescent="0.25">
      <c r="A339" t="s">
        <v>33</v>
      </c>
      <c r="B339">
        <v>2022</v>
      </c>
      <c r="C339" t="s">
        <v>39</v>
      </c>
      <c r="D339">
        <v>157.5</v>
      </c>
      <c r="E339">
        <v>223.4</v>
      </c>
      <c r="F339">
        <v>172.8</v>
      </c>
      <c r="G339">
        <v>166.4</v>
      </c>
      <c r="H339">
        <v>188.6</v>
      </c>
      <c r="I339">
        <v>174.1</v>
      </c>
      <c r="J339">
        <v>211.5</v>
      </c>
      <c r="K339">
        <v>163.6</v>
      </c>
      <c r="L339">
        <v>121.4</v>
      </c>
      <c r="M339">
        <v>183.5</v>
      </c>
      <c r="N339">
        <v>159.1</v>
      </c>
      <c r="O339">
        <v>186.3</v>
      </c>
      <c r="P339">
        <v>179.3</v>
      </c>
      <c r="Q339">
        <v>198.3</v>
      </c>
      <c r="R339">
        <v>171.6</v>
      </c>
      <c r="S339">
        <v>157.4</v>
      </c>
      <c r="T339">
        <v>169.4</v>
      </c>
      <c r="U339">
        <v>166.8</v>
      </c>
      <c r="V339">
        <v>174.9</v>
      </c>
      <c r="W339">
        <v>162.1</v>
      </c>
      <c r="X339">
        <v>170.9</v>
      </c>
      <c r="Y339">
        <v>157.19999999999999</v>
      </c>
      <c r="Z339">
        <v>164.1</v>
      </c>
      <c r="AA339">
        <v>166.5</v>
      </c>
      <c r="AB339">
        <v>169.2</v>
      </c>
      <c r="AC339">
        <v>163.80000000000001</v>
      </c>
      <c r="AD339">
        <v>171.4</v>
      </c>
    </row>
    <row r="340" spans="1:30" x14ac:dyDescent="0.25">
      <c r="A340" t="s">
        <v>34</v>
      </c>
      <c r="B340">
        <v>2022</v>
      </c>
      <c r="C340" t="s">
        <v>39</v>
      </c>
      <c r="D340">
        <v>155</v>
      </c>
      <c r="E340">
        <v>219.4</v>
      </c>
      <c r="F340">
        <v>170.8</v>
      </c>
      <c r="G340">
        <v>165.8</v>
      </c>
      <c r="H340">
        <v>200.9</v>
      </c>
      <c r="I340">
        <v>169.7</v>
      </c>
      <c r="J340">
        <v>182.3</v>
      </c>
      <c r="K340">
        <v>164.3</v>
      </c>
      <c r="L340">
        <v>119.9</v>
      </c>
      <c r="M340">
        <v>187.1</v>
      </c>
      <c r="N340">
        <v>167.9</v>
      </c>
      <c r="O340">
        <v>183.9</v>
      </c>
      <c r="P340">
        <v>174.9</v>
      </c>
      <c r="Q340">
        <v>194.3</v>
      </c>
      <c r="R340">
        <v>177.1</v>
      </c>
      <c r="S340">
        <v>169.9</v>
      </c>
      <c r="T340">
        <v>176</v>
      </c>
      <c r="U340">
        <v>166.8</v>
      </c>
      <c r="V340">
        <v>176</v>
      </c>
      <c r="W340">
        <v>166.4</v>
      </c>
      <c r="X340">
        <v>175.4</v>
      </c>
      <c r="Y340">
        <v>161.1</v>
      </c>
      <c r="Z340">
        <v>165.8</v>
      </c>
      <c r="AA340">
        <v>169</v>
      </c>
      <c r="AB340">
        <v>169.4</v>
      </c>
      <c r="AC340">
        <v>167.5</v>
      </c>
      <c r="AD340">
        <v>172.6</v>
      </c>
    </row>
    <row r="341" spans="1:30" x14ac:dyDescent="0.25">
      <c r="A341" t="s">
        <v>30</v>
      </c>
      <c r="B341">
        <v>2022</v>
      </c>
      <c r="C341" t="s">
        <v>40</v>
      </c>
      <c r="D341">
        <v>155.19999999999999</v>
      </c>
      <c r="E341">
        <v>210.8</v>
      </c>
      <c r="F341">
        <v>174.3</v>
      </c>
      <c r="G341">
        <v>166.3</v>
      </c>
      <c r="H341">
        <v>202.2</v>
      </c>
      <c r="I341">
        <v>169.6</v>
      </c>
      <c r="J341">
        <v>168.6</v>
      </c>
      <c r="K341">
        <v>164.4</v>
      </c>
      <c r="L341">
        <v>119.2</v>
      </c>
      <c r="M341">
        <v>191.8</v>
      </c>
      <c r="N341">
        <v>174.5</v>
      </c>
      <c r="O341">
        <v>183.1</v>
      </c>
      <c r="P341">
        <v>172.5</v>
      </c>
      <c r="Q341">
        <v>193.2</v>
      </c>
      <c r="R341">
        <v>182</v>
      </c>
      <c r="S341">
        <v>180.3</v>
      </c>
      <c r="T341">
        <v>181.7</v>
      </c>
      <c r="U341" t="s">
        <v>32</v>
      </c>
      <c r="V341">
        <v>179.6</v>
      </c>
      <c r="W341">
        <v>171.3</v>
      </c>
      <c r="X341">
        <v>178.8</v>
      </c>
      <c r="Y341">
        <v>166.3</v>
      </c>
      <c r="Z341">
        <v>168.6</v>
      </c>
      <c r="AA341">
        <v>174.7</v>
      </c>
      <c r="AB341">
        <v>169.7</v>
      </c>
      <c r="AC341">
        <v>171.8</v>
      </c>
      <c r="AD341">
        <v>174.3</v>
      </c>
    </row>
    <row r="342" spans="1:30" x14ac:dyDescent="0.25">
      <c r="A342" t="s">
        <v>33</v>
      </c>
      <c r="B342">
        <v>2022</v>
      </c>
      <c r="C342" t="s">
        <v>40</v>
      </c>
      <c r="D342">
        <v>159.30000000000001</v>
      </c>
      <c r="E342">
        <v>217.1</v>
      </c>
      <c r="F342">
        <v>176.6</v>
      </c>
      <c r="G342">
        <v>167.1</v>
      </c>
      <c r="H342">
        <v>184.8</v>
      </c>
      <c r="I342">
        <v>179.5</v>
      </c>
      <c r="J342">
        <v>208.5</v>
      </c>
      <c r="K342">
        <v>164</v>
      </c>
      <c r="L342">
        <v>121.5</v>
      </c>
      <c r="M342">
        <v>186.3</v>
      </c>
      <c r="N342">
        <v>159.80000000000001</v>
      </c>
      <c r="O342">
        <v>187.7</v>
      </c>
      <c r="P342">
        <v>179.4</v>
      </c>
      <c r="Q342">
        <v>198.6</v>
      </c>
      <c r="R342">
        <v>172.7</v>
      </c>
      <c r="S342">
        <v>158.69999999999999</v>
      </c>
      <c r="T342">
        <v>170.6</v>
      </c>
      <c r="U342">
        <v>167.8</v>
      </c>
      <c r="V342">
        <v>179.5</v>
      </c>
      <c r="W342">
        <v>163.1</v>
      </c>
      <c r="X342">
        <v>171.7</v>
      </c>
      <c r="Y342">
        <v>157.4</v>
      </c>
      <c r="Z342">
        <v>164.6</v>
      </c>
      <c r="AA342">
        <v>169.1</v>
      </c>
      <c r="AB342">
        <v>169.8</v>
      </c>
      <c r="AC342">
        <v>164.7</v>
      </c>
      <c r="AD342">
        <v>172.3</v>
      </c>
    </row>
    <row r="343" spans="1:30" x14ac:dyDescent="0.25">
      <c r="A343" t="s">
        <v>34</v>
      </c>
      <c r="B343">
        <v>2022</v>
      </c>
      <c r="C343" t="s">
        <v>40</v>
      </c>
      <c r="D343">
        <v>156.5</v>
      </c>
      <c r="E343">
        <v>213</v>
      </c>
      <c r="F343">
        <v>175.2</v>
      </c>
      <c r="G343">
        <v>166.6</v>
      </c>
      <c r="H343">
        <v>195.8</v>
      </c>
      <c r="I343">
        <v>174.2</v>
      </c>
      <c r="J343">
        <v>182.1</v>
      </c>
      <c r="K343">
        <v>164.3</v>
      </c>
      <c r="L343">
        <v>120</v>
      </c>
      <c r="M343">
        <v>190</v>
      </c>
      <c r="N343">
        <v>168.4</v>
      </c>
      <c r="O343">
        <v>185.2</v>
      </c>
      <c r="P343">
        <v>175</v>
      </c>
      <c r="Q343">
        <v>194.6</v>
      </c>
      <c r="R343">
        <v>178.3</v>
      </c>
      <c r="S343">
        <v>171.3</v>
      </c>
      <c r="T343">
        <v>177.3</v>
      </c>
      <c r="U343">
        <v>167.8</v>
      </c>
      <c r="V343">
        <v>179.6</v>
      </c>
      <c r="W343">
        <v>167.4</v>
      </c>
      <c r="X343">
        <v>176.1</v>
      </c>
      <c r="Y343">
        <v>161.6</v>
      </c>
      <c r="Z343">
        <v>166.3</v>
      </c>
      <c r="AA343">
        <v>171.4</v>
      </c>
      <c r="AB343">
        <v>169.7</v>
      </c>
      <c r="AC343">
        <v>168.4</v>
      </c>
      <c r="AD343">
        <v>173.4</v>
      </c>
    </row>
    <row r="344" spans="1:30" x14ac:dyDescent="0.25">
      <c r="A344" t="s">
        <v>30</v>
      </c>
      <c r="B344">
        <v>2022</v>
      </c>
      <c r="C344" t="s">
        <v>41</v>
      </c>
      <c r="D344">
        <v>159.5</v>
      </c>
      <c r="E344">
        <v>204.1</v>
      </c>
      <c r="F344">
        <v>168.3</v>
      </c>
      <c r="G344">
        <v>167.9</v>
      </c>
      <c r="H344">
        <v>198.1</v>
      </c>
      <c r="I344">
        <v>169.2</v>
      </c>
      <c r="J344">
        <v>173.1</v>
      </c>
      <c r="K344">
        <v>167.1</v>
      </c>
      <c r="L344">
        <v>120.2</v>
      </c>
      <c r="M344">
        <v>195.6</v>
      </c>
      <c r="N344">
        <v>174.8</v>
      </c>
      <c r="O344">
        <v>184</v>
      </c>
      <c r="P344">
        <v>173.9</v>
      </c>
      <c r="Q344">
        <v>193.7</v>
      </c>
      <c r="R344">
        <v>183.2</v>
      </c>
      <c r="S344">
        <v>181.7</v>
      </c>
      <c r="T344">
        <v>183</v>
      </c>
      <c r="U344" t="s">
        <v>32</v>
      </c>
      <c r="V344">
        <v>179.1</v>
      </c>
      <c r="W344">
        <v>172.3</v>
      </c>
      <c r="X344">
        <v>179.4</v>
      </c>
      <c r="Y344">
        <v>166.6</v>
      </c>
      <c r="Z344">
        <v>169.3</v>
      </c>
      <c r="AA344">
        <v>175.7</v>
      </c>
      <c r="AB344">
        <v>171.1</v>
      </c>
      <c r="AC344">
        <v>172.6</v>
      </c>
      <c r="AD344">
        <v>175.3</v>
      </c>
    </row>
    <row r="345" spans="1:30" x14ac:dyDescent="0.25">
      <c r="A345" t="s">
        <v>33</v>
      </c>
      <c r="B345">
        <v>2022</v>
      </c>
      <c r="C345" t="s">
        <v>41</v>
      </c>
      <c r="D345">
        <v>162.1</v>
      </c>
      <c r="E345">
        <v>210.9</v>
      </c>
      <c r="F345">
        <v>170.6</v>
      </c>
      <c r="G345">
        <v>168.4</v>
      </c>
      <c r="H345">
        <v>182.5</v>
      </c>
      <c r="I345">
        <v>177.1</v>
      </c>
      <c r="J345">
        <v>213.1</v>
      </c>
      <c r="K345">
        <v>167.3</v>
      </c>
      <c r="L345">
        <v>122.2</v>
      </c>
      <c r="M345">
        <v>189.7</v>
      </c>
      <c r="N345">
        <v>160.5</v>
      </c>
      <c r="O345">
        <v>188.9</v>
      </c>
      <c r="P345">
        <v>180.4</v>
      </c>
      <c r="Q345">
        <v>198.7</v>
      </c>
      <c r="R345">
        <v>173.7</v>
      </c>
      <c r="S345">
        <v>160</v>
      </c>
      <c r="T345">
        <v>171.6</v>
      </c>
      <c r="U345">
        <v>169</v>
      </c>
      <c r="V345">
        <v>178.4</v>
      </c>
      <c r="W345">
        <v>164.2</v>
      </c>
      <c r="X345">
        <v>172.6</v>
      </c>
      <c r="Y345">
        <v>157.69999999999999</v>
      </c>
      <c r="Z345">
        <v>165.1</v>
      </c>
      <c r="AA345">
        <v>169.9</v>
      </c>
      <c r="AB345">
        <v>171.4</v>
      </c>
      <c r="AC345">
        <v>165.4</v>
      </c>
      <c r="AD345">
        <v>173.1</v>
      </c>
    </row>
    <row r="346" spans="1:30" x14ac:dyDescent="0.25">
      <c r="A346" t="s">
        <v>34</v>
      </c>
      <c r="B346">
        <v>2022</v>
      </c>
      <c r="C346" t="s">
        <v>41</v>
      </c>
      <c r="D346">
        <v>160.30000000000001</v>
      </c>
      <c r="E346">
        <v>206.5</v>
      </c>
      <c r="F346">
        <v>169.2</v>
      </c>
      <c r="G346">
        <v>168.1</v>
      </c>
      <c r="H346">
        <v>192.4</v>
      </c>
      <c r="I346">
        <v>172.9</v>
      </c>
      <c r="J346">
        <v>186.7</v>
      </c>
      <c r="K346">
        <v>167.2</v>
      </c>
      <c r="L346">
        <v>120.9</v>
      </c>
      <c r="M346">
        <v>193.6</v>
      </c>
      <c r="N346">
        <v>168.8</v>
      </c>
      <c r="O346">
        <v>186.3</v>
      </c>
      <c r="P346">
        <v>176.3</v>
      </c>
      <c r="Q346">
        <v>195</v>
      </c>
      <c r="R346">
        <v>179.5</v>
      </c>
      <c r="S346">
        <v>172.7</v>
      </c>
      <c r="T346">
        <v>178.5</v>
      </c>
      <c r="U346">
        <v>169</v>
      </c>
      <c r="V346">
        <v>178.8</v>
      </c>
      <c r="W346">
        <v>168.5</v>
      </c>
      <c r="X346">
        <v>176.8</v>
      </c>
      <c r="Y346">
        <v>161.9</v>
      </c>
      <c r="Z346">
        <v>166.9</v>
      </c>
      <c r="AA346">
        <v>172.3</v>
      </c>
      <c r="AB346">
        <v>171.2</v>
      </c>
      <c r="AC346">
        <v>169.1</v>
      </c>
      <c r="AD346">
        <v>174.3</v>
      </c>
    </row>
    <row r="347" spans="1:30" x14ac:dyDescent="0.25">
      <c r="A347" t="s">
        <v>30</v>
      </c>
      <c r="B347">
        <v>2022</v>
      </c>
      <c r="C347" t="s">
        <v>42</v>
      </c>
      <c r="D347">
        <v>162.9</v>
      </c>
      <c r="E347">
        <v>206.7</v>
      </c>
      <c r="F347">
        <v>169</v>
      </c>
      <c r="G347">
        <v>169.5</v>
      </c>
      <c r="H347">
        <v>194.1</v>
      </c>
      <c r="I347">
        <v>164.1</v>
      </c>
      <c r="J347">
        <v>176.9</v>
      </c>
      <c r="K347">
        <v>169</v>
      </c>
      <c r="L347">
        <v>120.8</v>
      </c>
      <c r="M347">
        <v>199.1</v>
      </c>
      <c r="N347">
        <v>175.4</v>
      </c>
      <c r="O347">
        <v>184.8</v>
      </c>
      <c r="P347">
        <v>175.5</v>
      </c>
      <c r="Q347">
        <v>194.5</v>
      </c>
      <c r="R347">
        <v>184.7</v>
      </c>
      <c r="S347">
        <v>183.3</v>
      </c>
      <c r="T347">
        <v>184.5</v>
      </c>
      <c r="U347" t="s">
        <v>32</v>
      </c>
      <c r="V347">
        <v>179.7</v>
      </c>
      <c r="W347">
        <v>173.6</v>
      </c>
      <c r="X347">
        <v>180.2</v>
      </c>
      <c r="Y347">
        <v>166.9</v>
      </c>
      <c r="Z347">
        <v>170</v>
      </c>
      <c r="AA347">
        <v>176.2</v>
      </c>
      <c r="AB347">
        <v>170.8</v>
      </c>
      <c r="AC347">
        <v>173.1</v>
      </c>
      <c r="AD347">
        <v>176.4</v>
      </c>
    </row>
    <row r="348" spans="1:30" x14ac:dyDescent="0.25">
      <c r="A348" t="s">
        <v>33</v>
      </c>
      <c r="B348">
        <v>2022</v>
      </c>
      <c r="C348" t="s">
        <v>42</v>
      </c>
      <c r="D348">
        <v>164.9</v>
      </c>
      <c r="E348">
        <v>213.7</v>
      </c>
      <c r="F348">
        <v>170.9</v>
      </c>
      <c r="G348">
        <v>170.1</v>
      </c>
      <c r="H348">
        <v>179.3</v>
      </c>
      <c r="I348">
        <v>167.5</v>
      </c>
      <c r="J348">
        <v>220.8</v>
      </c>
      <c r="K348">
        <v>169.2</v>
      </c>
      <c r="L348">
        <v>123.1</v>
      </c>
      <c r="M348">
        <v>193.6</v>
      </c>
      <c r="N348">
        <v>161.1</v>
      </c>
      <c r="O348">
        <v>190.4</v>
      </c>
      <c r="P348">
        <v>181.8</v>
      </c>
      <c r="Q348">
        <v>199.7</v>
      </c>
      <c r="R348">
        <v>175</v>
      </c>
      <c r="S348">
        <v>161.69999999999999</v>
      </c>
      <c r="T348">
        <v>173</v>
      </c>
      <c r="U348">
        <v>169.5</v>
      </c>
      <c r="V348">
        <v>179.2</v>
      </c>
      <c r="W348">
        <v>165</v>
      </c>
      <c r="X348">
        <v>173.8</v>
      </c>
      <c r="Y348">
        <v>158.19999999999999</v>
      </c>
      <c r="Z348">
        <v>165.8</v>
      </c>
      <c r="AA348">
        <v>170.9</v>
      </c>
      <c r="AB348">
        <v>171.1</v>
      </c>
      <c r="AC348">
        <v>166.1</v>
      </c>
      <c r="AD348">
        <v>174.1</v>
      </c>
    </row>
    <row r="349" spans="1:30" x14ac:dyDescent="0.25">
      <c r="A349" t="s">
        <v>34</v>
      </c>
      <c r="B349">
        <v>2022</v>
      </c>
      <c r="C349" t="s">
        <v>42</v>
      </c>
      <c r="D349">
        <v>163.5</v>
      </c>
      <c r="E349">
        <v>209.2</v>
      </c>
      <c r="F349">
        <v>169.7</v>
      </c>
      <c r="G349">
        <v>169.7</v>
      </c>
      <c r="H349">
        <v>188.7</v>
      </c>
      <c r="I349">
        <v>165.7</v>
      </c>
      <c r="J349">
        <v>191.8</v>
      </c>
      <c r="K349">
        <v>169.1</v>
      </c>
      <c r="L349">
        <v>121.6</v>
      </c>
      <c r="M349">
        <v>197.3</v>
      </c>
      <c r="N349">
        <v>169.4</v>
      </c>
      <c r="O349">
        <v>187.4</v>
      </c>
      <c r="P349">
        <v>177.8</v>
      </c>
      <c r="Q349">
        <v>195.9</v>
      </c>
      <c r="R349">
        <v>180.9</v>
      </c>
      <c r="S349">
        <v>174.3</v>
      </c>
      <c r="T349">
        <v>179.9</v>
      </c>
      <c r="U349">
        <v>169.5</v>
      </c>
      <c r="V349">
        <v>179.5</v>
      </c>
      <c r="W349">
        <v>169.5</v>
      </c>
      <c r="X349">
        <v>177.8</v>
      </c>
      <c r="Y349">
        <v>162.30000000000001</v>
      </c>
      <c r="Z349">
        <v>167.6</v>
      </c>
      <c r="AA349">
        <v>173.1</v>
      </c>
      <c r="AB349">
        <v>170.9</v>
      </c>
      <c r="AC349">
        <v>169.7</v>
      </c>
      <c r="AD349">
        <v>175.3</v>
      </c>
    </row>
    <row r="350" spans="1:30" x14ac:dyDescent="0.25">
      <c r="A350" t="s">
        <v>30</v>
      </c>
      <c r="B350">
        <v>2022</v>
      </c>
      <c r="C350" t="s">
        <v>43</v>
      </c>
      <c r="D350">
        <v>164.7</v>
      </c>
      <c r="E350">
        <v>208.8</v>
      </c>
      <c r="F350">
        <v>170.3</v>
      </c>
      <c r="G350">
        <v>170.9</v>
      </c>
      <c r="H350">
        <v>191.6</v>
      </c>
      <c r="I350">
        <v>162.19999999999999</v>
      </c>
      <c r="J350">
        <v>184.8</v>
      </c>
      <c r="K350">
        <v>169.7</v>
      </c>
      <c r="L350">
        <v>121.1</v>
      </c>
      <c r="M350">
        <v>201.6</v>
      </c>
      <c r="N350">
        <v>175.8</v>
      </c>
      <c r="O350">
        <v>185.6</v>
      </c>
      <c r="P350">
        <v>177.4</v>
      </c>
      <c r="Q350">
        <v>194.9</v>
      </c>
      <c r="R350">
        <v>186.1</v>
      </c>
      <c r="S350">
        <v>184.4</v>
      </c>
      <c r="T350">
        <v>185.9</v>
      </c>
      <c r="U350" t="s">
        <v>32</v>
      </c>
      <c r="V350">
        <v>180.8</v>
      </c>
      <c r="W350">
        <v>174.4</v>
      </c>
      <c r="X350">
        <v>181.2</v>
      </c>
      <c r="Y350">
        <v>167.4</v>
      </c>
      <c r="Z350">
        <v>170.6</v>
      </c>
      <c r="AA350">
        <v>176.5</v>
      </c>
      <c r="AB350">
        <v>172</v>
      </c>
      <c r="AC350">
        <v>173.9</v>
      </c>
      <c r="AD350">
        <v>177.9</v>
      </c>
    </row>
    <row r="351" spans="1:30" x14ac:dyDescent="0.25">
      <c r="A351" t="s">
        <v>33</v>
      </c>
      <c r="B351">
        <v>2022</v>
      </c>
      <c r="C351" t="s">
        <v>43</v>
      </c>
      <c r="D351">
        <v>166.4</v>
      </c>
      <c r="E351">
        <v>214.9</v>
      </c>
      <c r="F351">
        <v>171.9</v>
      </c>
      <c r="G351">
        <v>171</v>
      </c>
      <c r="H351">
        <v>177.7</v>
      </c>
      <c r="I351">
        <v>165.7</v>
      </c>
      <c r="J351">
        <v>228.6</v>
      </c>
      <c r="K351">
        <v>169.9</v>
      </c>
      <c r="L351">
        <v>123.4</v>
      </c>
      <c r="M351">
        <v>196.4</v>
      </c>
      <c r="N351">
        <v>161.6</v>
      </c>
      <c r="O351">
        <v>191.5</v>
      </c>
      <c r="P351">
        <v>183.3</v>
      </c>
      <c r="Q351">
        <v>200.1</v>
      </c>
      <c r="R351">
        <v>175.5</v>
      </c>
      <c r="S351">
        <v>162.6</v>
      </c>
      <c r="T351">
        <v>173.6</v>
      </c>
      <c r="U351">
        <v>171.2</v>
      </c>
      <c r="V351">
        <v>180</v>
      </c>
      <c r="W351">
        <v>166</v>
      </c>
      <c r="X351">
        <v>174.7</v>
      </c>
      <c r="Y351">
        <v>158.80000000000001</v>
      </c>
      <c r="Z351">
        <v>166.3</v>
      </c>
      <c r="AA351">
        <v>171.2</v>
      </c>
      <c r="AB351">
        <v>172.3</v>
      </c>
      <c r="AC351">
        <v>166.8</v>
      </c>
      <c r="AD351">
        <v>175.3</v>
      </c>
    </row>
    <row r="352" spans="1:30" x14ac:dyDescent="0.25">
      <c r="A352" t="s">
        <v>34</v>
      </c>
      <c r="B352">
        <v>2022</v>
      </c>
      <c r="C352" t="s">
        <v>43</v>
      </c>
      <c r="D352">
        <v>165.2</v>
      </c>
      <c r="E352">
        <v>210.9</v>
      </c>
      <c r="F352">
        <v>170.9</v>
      </c>
      <c r="G352">
        <v>170.9</v>
      </c>
      <c r="H352">
        <v>186.5</v>
      </c>
      <c r="I352">
        <v>163.80000000000001</v>
      </c>
      <c r="J352">
        <v>199.7</v>
      </c>
      <c r="K352">
        <v>169.8</v>
      </c>
      <c r="L352">
        <v>121.9</v>
      </c>
      <c r="M352">
        <v>199.9</v>
      </c>
      <c r="N352">
        <v>169.9</v>
      </c>
      <c r="O352">
        <v>188.3</v>
      </c>
      <c r="P352">
        <v>179.6</v>
      </c>
      <c r="Q352">
        <v>196.3</v>
      </c>
      <c r="R352">
        <v>181.9</v>
      </c>
      <c r="S352">
        <v>175.3</v>
      </c>
      <c r="T352">
        <v>181</v>
      </c>
      <c r="U352">
        <v>171.2</v>
      </c>
      <c r="V352">
        <v>180.5</v>
      </c>
      <c r="W352">
        <v>170.4</v>
      </c>
      <c r="X352">
        <v>178.7</v>
      </c>
      <c r="Y352">
        <v>162.9</v>
      </c>
      <c r="Z352">
        <v>168.2</v>
      </c>
      <c r="AA352">
        <v>173.4</v>
      </c>
      <c r="AB352">
        <v>172.1</v>
      </c>
      <c r="AC352">
        <v>170.5</v>
      </c>
      <c r="AD352">
        <v>176.7</v>
      </c>
    </row>
    <row r="353" spans="1:30" x14ac:dyDescent="0.25">
      <c r="A353" t="s">
        <v>30</v>
      </c>
      <c r="B353">
        <v>2022</v>
      </c>
      <c r="C353" t="s">
        <v>45</v>
      </c>
      <c r="D353">
        <v>166.9</v>
      </c>
      <c r="E353">
        <v>207.2</v>
      </c>
      <c r="F353">
        <v>180.2</v>
      </c>
      <c r="G353">
        <v>172.3</v>
      </c>
      <c r="H353">
        <v>194</v>
      </c>
      <c r="I353">
        <v>159.1</v>
      </c>
      <c r="J353">
        <v>171.6</v>
      </c>
      <c r="K353">
        <v>170.2</v>
      </c>
      <c r="L353">
        <v>121.5</v>
      </c>
      <c r="M353">
        <v>204.8</v>
      </c>
      <c r="N353">
        <v>176.4</v>
      </c>
      <c r="O353">
        <v>186.9</v>
      </c>
      <c r="P353">
        <v>176.6</v>
      </c>
      <c r="Q353">
        <v>195.5</v>
      </c>
      <c r="R353">
        <v>187.2</v>
      </c>
      <c r="S353">
        <v>185.2</v>
      </c>
      <c r="T353">
        <v>186.9</v>
      </c>
      <c r="U353" t="s">
        <v>32</v>
      </c>
      <c r="V353">
        <v>181.9</v>
      </c>
      <c r="W353">
        <v>175.5</v>
      </c>
      <c r="X353">
        <v>182.3</v>
      </c>
      <c r="Y353">
        <v>167.5</v>
      </c>
      <c r="Z353">
        <v>170.8</v>
      </c>
      <c r="AA353">
        <v>176.9</v>
      </c>
      <c r="AB353">
        <v>173.4</v>
      </c>
      <c r="AC353">
        <v>174.6</v>
      </c>
      <c r="AD353">
        <v>177.8</v>
      </c>
    </row>
    <row r="354" spans="1:30" x14ac:dyDescent="0.25">
      <c r="A354" t="s">
        <v>33</v>
      </c>
      <c r="B354">
        <v>2022</v>
      </c>
      <c r="C354" t="s">
        <v>45</v>
      </c>
      <c r="D354">
        <v>168.4</v>
      </c>
      <c r="E354">
        <v>213.4</v>
      </c>
      <c r="F354">
        <v>183.2</v>
      </c>
      <c r="G354">
        <v>172.3</v>
      </c>
      <c r="H354">
        <v>180</v>
      </c>
      <c r="I354">
        <v>162.6</v>
      </c>
      <c r="J354">
        <v>205.5</v>
      </c>
      <c r="K354">
        <v>171</v>
      </c>
      <c r="L354">
        <v>123.4</v>
      </c>
      <c r="M354">
        <v>198.8</v>
      </c>
      <c r="N354">
        <v>162.1</v>
      </c>
      <c r="O354">
        <v>192.4</v>
      </c>
      <c r="P354">
        <v>181.3</v>
      </c>
      <c r="Q354">
        <v>200.6</v>
      </c>
      <c r="R354">
        <v>176.7</v>
      </c>
      <c r="S354">
        <v>163.5</v>
      </c>
      <c r="T354">
        <v>174.7</v>
      </c>
      <c r="U354">
        <v>171.8</v>
      </c>
      <c r="V354">
        <v>180.3</v>
      </c>
      <c r="W354">
        <v>166.9</v>
      </c>
      <c r="X354">
        <v>175.8</v>
      </c>
      <c r="Y354">
        <v>158.9</v>
      </c>
      <c r="Z354">
        <v>166.7</v>
      </c>
      <c r="AA354">
        <v>171.5</v>
      </c>
      <c r="AB354">
        <v>173.8</v>
      </c>
      <c r="AC354">
        <v>167.4</v>
      </c>
      <c r="AD354">
        <v>174.1</v>
      </c>
    </row>
    <row r="355" spans="1:30" x14ac:dyDescent="0.25">
      <c r="A355" t="s">
        <v>34</v>
      </c>
      <c r="B355">
        <v>2022</v>
      </c>
      <c r="C355" t="s">
        <v>45</v>
      </c>
      <c r="D355">
        <v>167.4</v>
      </c>
      <c r="E355">
        <v>209.4</v>
      </c>
      <c r="F355">
        <v>181.4</v>
      </c>
      <c r="G355">
        <v>172.3</v>
      </c>
      <c r="H355">
        <v>188.9</v>
      </c>
      <c r="I355">
        <v>160.69999999999999</v>
      </c>
      <c r="J355">
        <v>183.1</v>
      </c>
      <c r="K355">
        <v>170.5</v>
      </c>
      <c r="L355">
        <v>122.1</v>
      </c>
      <c r="M355">
        <v>202.8</v>
      </c>
      <c r="N355">
        <v>170.4</v>
      </c>
      <c r="O355">
        <v>189.5</v>
      </c>
      <c r="P355">
        <v>178.3</v>
      </c>
      <c r="Q355">
        <v>196.9</v>
      </c>
      <c r="R355">
        <v>183.1</v>
      </c>
      <c r="S355">
        <v>176.2</v>
      </c>
      <c r="T355">
        <v>182.1</v>
      </c>
      <c r="U355">
        <v>171.8</v>
      </c>
      <c r="V355">
        <v>181.3</v>
      </c>
      <c r="W355">
        <v>171.4</v>
      </c>
      <c r="X355">
        <v>179.8</v>
      </c>
      <c r="Y355">
        <v>163</v>
      </c>
      <c r="Z355">
        <v>168.5</v>
      </c>
      <c r="AA355">
        <v>173.7</v>
      </c>
      <c r="AB355">
        <v>173.6</v>
      </c>
      <c r="AC355">
        <v>171.1</v>
      </c>
      <c r="AD355">
        <v>176.5</v>
      </c>
    </row>
    <row r="356" spans="1:30" x14ac:dyDescent="0.25">
      <c r="A356" t="s">
        <v>30</v>
      </c>
      <c r="B356">
        <v>2022</v>
      </c>
      <c r="C356" t="s">
        <v>46</v>
      </c>
      <c r="D356">
        <v>168.8</v>
      </c>
      <c r="E356">
        <v>206.9</v>
      </c>
      <c r="F356">
        <v>189.1</v>
      </c>
      <c r="G356">
        <v>173.4</v>
      </c>
      <c r="H356">
        <v>193.9</v>
      </c>
      <c r="I356">
        <v>156.69999999999999</v>
      </c>
      <c r="J356">
        <v>150.19999999999999</v>
      </c>
      <c r="K356">
        <v>170.5</v>
      </c>
      <c r="L356">
        <v>121.2</v>
      </c>
      <c r="M356">
        <v>207.5</v>
      </c>
      <c r="N356">
        <v>176.8</v>
      </c>
      <c r="O356">
        <v>187.7</v>
      </c>
      <c r="P356">
        <v>174.4</v>
      </c>
      <c r="Q356">
        <v>195.9</v>
      </c>
      <c r="R356">
        <v>188.1</v>
      </c>
      <c r="S356">
        <v>185.9</v>
      </c>
      <c r="T356">
        <v>187.8</v>
      </c>
      <c r="U356" t="s">
        <v>32</v>
      </c>
      <c r="V356">
        <v>182.8</v>
      </c>
      <c r="W356">
        <v>176.4</v>
      </c>
      <c r="X356">
        <v>183.5</v>
      </c>
      <c r="Y356">
        <v>167.8</v>
      </c>
      <c r="Z356">
        <v>171.2</v>
      </c>
      <c r="AA356">
        <v>177.3</v>
      </c>
      <c r="AB356">
        <v>175.7</v>
      </c>
      <c r="AC356">
        <v>175.5</v>
      </c>
      <c r="AD356">
        <v>177.1</v>
      </c>
    </row>
    <row r="357" spans="1:30" x14ac:dyDescent="0.25">
      <c r="A357" t="s">
        <v>33</v>
      </c>
      <c r="B357">
        <v>2022</v>
      </c>
      <c r="C357" t="s">
        <v>46</v>
      </c>
      <c r="D357">
        <v>170.2</v>
      </c>
      <c r="E357">
        <v>212.9</v>
      </c>
      <c r="F357">
        <v>191.9</v>
      </c>
      <c r="G357">
        <v>173.9</v>
      </c>
      <c r="H357">
        <v>179.1</v>
      </c>
      <c r="I357">
        <v>159.5</v>
      </c>
      <c r="J357">
        <v>178.7</v>
      </c>
      <c r="K357">
        <v>171.3</v>
      </c>
      <c r="L357">
        <v>123.1</v>
      </c>
      <c r="M357">
        <v>200.5</v>
      </c>
      <c r="N357">
        <v>162.80000000000001</v>
      </c>
      <c r="O357">
        <v>193.3</v>
      </c>
      <c r="P357">
        <v>178.6</v>
      </c>
      <c r="Q357">
        <v>201.1</v>
      </c>
      <c r="R357">
        <v>177.7</v>
      </c>
      <c r="S357">
        <v>164.5</v>
      </c>
      <c r="T357">
        <v>175.7</v>
      </c>
      <c r="U357">
        <v>170.7</v>
      </c>
      <c r="V357">
        <v>180.6</v>
      </c>
      <c r="W357">
        <v>167.3</v>
      </c>
      <c r="X357">
        <v>177.2</v>
      </c>
      <c r="Y357">
        <v>159.4</v>
      </c>
      <c r="Z357">
        <v>167.1</v>
      </c>
      <c r="AA357">
        <v>171.8</v>
      </c>
      <c r="AB357">
        <v>176</v>
      </c>
      <c r="AC357">
        <v>168.2</v>
      </c>
      <c r="AD357">
        <v>174.1</v>
      </c>
    </row>
    <row r="358" spans="1:30" x14ac:dyDescent="0.25">
      <c r="A358" t="s">
        <v>34</v>
      </c>
      <c r="B358">
        <v>2022</v>
      </c>
      <c r="C358" t="s">
        <v>46</v>
      </c>
      <c r="D358">
        <v>169.2</v>
      </c>
      <c r="E358">
        <v>209</v>
      </c>
      <c r="F358">
        <v>190.2</v>
      </c>
      <c r="G358">
        <v>173.6</v>
      </c>
      <c r="H358">
        <v>188.5</v>
      </c>
      <c r="I358">
        <v>158</v>
      </c>
      <c r="J358">
        <v>159.9</v>
      </c>
      <c r="K358">
        <v>170.8</v>
      </c>
      <c r="L358">
        <v>121.8</v>
      </c>
      <c r="M358">
        <v>205.2</v>
      </c>
      <c r="N358">
        <v>171</v>
      </c>
      <c r="O358">
        <v>190.3</v>
      </c>
      <c r="P358">
        <v>175.9</v>
      </c>
      <c r="Q358">
        <v>197.3</v>
      </c>
      <c r="R358">
        <v>184</v>
      </c>
      <c r="S358">
        <v>177</v>
      </c>
      <c r="T358">
        <v>183</v>
      </c>
      <c r="U358">
        <v>170.7</v>
      </c>
      <c r="V358">
        <v>182</v>
      </c>
      <c r="W358">
        <v>172.1</v>
      </c>
      <c r="X358">
        <v>181.1</v>
      </c>
      <c r="Y358">
        <v>163.4</v>
      </c>
      <c r="Z358">
        <v>168.9</v>
      </c>
      <c r="AA358">
        <v>174.1</v>
      </c>
      <c r="AB358">
        <v>175.8</v>
      </c>
      <c r="AC358">
        <v>172</v>
      </c>
      <c r="AD358">
        <v>175.7</v>
      </c>
    </row>
    <row r="359" spans="1:30" x14ac:dyDescent="0.25">
      <c r="A359" t="s">
        <v>30</v>
      </c>
      <c r="B359">
        <v>2023</v>
      </c>
      <c r="C359" t="s">
        <v>31</v>
      </c>
      <c r="D359">
        <v>174</v>
      </c>
      <c r="E359">
        <v>208.3</v>
      </c>
      <c r="F359">
        <v>192.9</v>
      </c>
      <c r="G359">
        <v>174.3</v>
      </c>
      <c r="H359">
        <v>192.6</v>
      </c>
      <c r="I359">
        <v>156.30000000000001</v>
      </c>
      <c r="J359">
        <v>142.9</v>
      </c>
      <c r="K359">
        <v>170.7</v>
      </c>
      <c r="L359">
        <v>120.3</v>
      </c>
      <c r="M359">
        <v>210.5</v>
      </c>
      <c r="N359">
        <v>176.9</v>
      </c>
      <c r="O359">
        <v>188.5</v>
      </c>
      <c r="P359">
        <v>175</v>
      </c>
      <c r="Q359">
        <v>196.9</v>
      </c>
      <c r="R359">
        <v>189</v>
      </c>
      <c r="S359">
        <v>186.3</v>
      </c>
      <c r="T359">
        <v>188.6</v>
      </c>
      <c r="U359" t="s">
        <v>32</v>
      </c>
      <c r="V359">
        <v>183.2</v>
      </c>
      <c r="W359">
        <v>177.2</v>
      </c>
      <c r="X359">
        <v>184.7</v>
      </c>
      <c r="Y359">
        <v>168.2</v>
      </c>
      <c r="Z359">
        <v>171.8</v>
      </c>
      <c r="AA359">
        <v>177.8</v>
      </c>
      <c r="AB359">
        <v>178.4</v>
      </c>
      <c r="AC359">
        <v>176.5</v>
      </c>
      <c r="AD359">
        <v>177.8</v>
      </c>
    </row>
    <row r="360" spans="1:30" x14ac:dyDescent="0.25">
      <c r="A360" t="s">
        <v>33</v>
      </c>
      <c r="B360">
        <v>2023</v>
      </c>
      <c r="C360" t="s">
        <v>31</v>
      </c>
      <c r="D360">
        <v>173.3</v>
      </c>
      <c r="E360">
        <v>215.2</v>
      </c>
      <c r="F360">
        <v>197</v>
      </c>
      <c r="G360">
        <v>175.2</v>
      </c>
      <c r="H360">
        <v>178</v>
      </c>
      <c r="I360">
        <v>160.5</v>
      </c>
      <c r="J360">
        <v>175.3</v>
      </c>
      <c r="K360">
        <v>171.2</v>
      </c>
      <c r="L360">
        <v>122.7</v>
      </c>
      <c r="M360">
        <v>204.3</v>
      </c>
      <c r="N360">
        <v>163.69999999999999</v>
      </c>
      <c r="O360">
        <v>194.3</v>
      </c>
      <c r="P360">
        <v>179.5</v>
      </c>
      <c r="Q360">
        <v>201.6</v>
      </c>
      <c r="R360">
        <v>178.7</v>
      </c>
      <c r="S360">
        <v>165.3</v>
      </c>
      <c r="T360">
        <v>176.6</v>
      </c>
      <c r="U360">
        <v>172.1</v>
      </c>
      <c r="V360">
        <v>180.1</v>
      </c>
      <c r="W360">
        <v>168</v>
      </c>
      <c r="X360">
        <v>178.5</v>
      </c>
      <c r="Y360">
        <v>159.5</v>
      </c>
      <c r="Z360">
        <v>167.8</v>
      </c>
      <c r="AA360">
        <v>171.8</v>
      </c>
      <c r="AB360">
        <v>178.8</v>
      </c>
      <c r="AC360">
        <v>168.9</v>
      </c>
      <c r="AD360">
        <v>174.9</v>
      </c>
    </row>
    <row r="361" spans="1:30" x14ac:dyDescent="0.25">
      <c r="A361" t="s">
        <v>34</v>
      </c>
      <c r="B361">
        <v>2023</v>
      </c>
      <c r="C361" t="s">
        <v>31</v>
      </c>
      <c r="D361">
        <v>173.8</v>
      </c>
      <c r="E361">
        <v>210.7</v>
      </c>
      <c r="F361">
        <v>194.5</v>
      </c>
      <c r="G361">
        <v>174.6</v>
      </c>
      <c r="H361">
        <v>187.2</v>
      </c>
      <c r="I361">
        <v>158.30000000000001</v>
      </c>
      <c r="J361">
        <v>153.9</v>
      </c>
      <c r="K361">
        <v>170.9</v>
      </c>
      <c r="L361">
        <v>121.1</v>
      </c>
      <c r="M361">
        <v>208.4</v>
      </c>
      <c r="N361">
        <v>171.4</v>
      </c>
      <c r="O361">
        <v>191.2</v>
      </c>
      <c r="P361">
        <v>176.7</v>
      </c>
      <c r="Q361">
        <v>198.2</v>
      </c>
      <c r="R361">
        <v>184.9</v>
      </c>
      <c r="S361">
        <v>177.6</v>
      </c>
      <c r="T361">
        <v>183.8</v>
      </c>
      <c r="U361">
        <v>172.1</v>
      </c>
      <c r="V361">
        <v>182</v>
      </c>
      <c r="W361">
        <v>172.9</v>
      </c>
      <c r="X361">
        <v>182.3</v>
      </c>
      <c r="Y361">
        <v>163.6</v>
      </c>
      <c r="Z361">
        <v>169.5</v>
      </c>
      <c r="AA361">
        <v>174.3</v>
      </c>
      <c r="AB361">
        <v>178.6</v>
      </c>
      <c r="AC361">
        <v>172.8</v>
      </c>
      <c r="AD361">
        <v>176.5</v>
      </c>
    </row>
    <row r="362" spans="1:30" x14ac:dyDescent="0.25">
      <c r="A362" t="s">
        <v>30</v>
      </c>
      <c r="B362">
        <v>2023</v>
      </c>
      <c r="C362" t="s">
        <v>35</v>
      </c>
      <c r="D362">
        <v>174.2</v>
      </c>
      <c r="E362">
        <v>205.2</v>
      </c>
      <c r="F362">
        <v>173.9</v>
      </c>
      <c r="G362">
        <v>177</v>
      </c>
      <c r="H362">
        <v>183.4</v>
      </c>
      <c r="I362">
        <v>167.2</v>
      </c>
      <c r="J362">
        <v>140.9</v>
      </c>
      <c r="K362">
        <v>170.4</v>
      </c>
      <c r="L362">
        <v>119.1</v>
      </c>
      <c r="M362">
        <v>212.1</v>
      </c>
      <c r="N362">
        <v>177.6</v>
      </c>
      <c r="O362">
        <v>189.9</v>
      </c>
      <c r="P362">
        <v>174.8</v>
      </c>
      <c r="Q362">
        <v>198.3</v>
      </c>
      <c r="R362">
        <v>190</v>
      </c>
      <c r="S362">
        <v>187</v>
      </c>
      <c r="T362">
        <v>189.6</v>
      </c>
      <c r="U362" t="s">
        <v>32</v>
      </c>
      <c r="V362">
        <v>181.6</v>
      </c>
      <c r="W362">
        <v>178.6</v>
      </c>
      <c r="X362">
        <v>186.6</v>
      </c>
      <c r="Y362">
        <v>169</v>
      </c>
      <c r="Z362">
        <v>172.8</v>
      </c>
      <c r="AA362">
        <v>178.5</v>
      </c>
      <c r="AB362">
        <v>180.7</v>
      </c>
      <c r="AC362">
        <v>177.9</v>
      </c>
      <c r="AD362">
        <v>178</v>
      </c>
    </row>
    <row r="363" spans="1:30" x14ac:dyDescent="0.25">
      <c r="A363" t="s">
        <v>33</v>
      </c>
      <c r="B363">
        <v>2023</v>
      </c>
      <c r="C363" t="s">
        <v>35</v>
      </c>
      <c r="D363">
        <v>174.7</v>
      </c>
      <c r="E363">
        <v>212.2</v>
      </c>
      <c r="F363">
        <v>177.2</v>
      </c>
      <c r="G363">
        <v>177.9</v>
      </c>
      <c r="H363">
        <v>172.2</v>
      </c>
      <c r="I363">
        <v>172.1</v>
      </c>
      <c r="J363">
        <v>175.8</v>
      </c>
      <c r="K363">
        <v>172.2</v>
      </c>
      <c r="L363">
        <v>121.9</v>
      </c>
      <c r="M363">
        <v>204.8</v>
      </c>
      <c r="N363">
        <v>164.9</v>
      </c>
      <c r="O363">
        <v>196.6</v>
      </c>
      <c r="P363">
        <v>180.7</v>
      </c>
      <c r="Q363">
        <v>202.7</v>
      </c>
      <c r="R363">
        <v>180.3</v>
      </c>
      <c r="S363">
        <v>167</v>
      </c>
      <c r="T363">
        <v>178.2</v>
      </c>
      <c r="U363">
        <v>173.5</v>
      </c>
      <c r="V363">
        <v>182.8</v>
      </c>
      <c r="W363">
        <v>169.2</v>
      </c>
      <c r="X363">
        <v>180.8</v>
      </c>
      <c r="Y363">
        <v>159.80000000000001</v>
      </c>
      <c r="Z363">
        <v>168.4</v>
      </c>
      <c r="AA363">
        <v>172.5</v>
      </c>
      <c r="AB363">
        <v>181.4</v>
      </c>
      <c r="AC363">
        <v>170</v>
      </c>
      <c r="AD363">
        <v>176.3</v>
      </c>
    </row>
    <row r="364" spans="1:30" x14ac:dyDescent="0.25">
      <c r="A364" t="s">
        <v>34</v>
      </c>
      <c r="B364">
        <v>2023</v>
      </c>
      <c r="C364" t="s">
        <v>35</v>
      </c>
      <c r="D364">
        <v>174.4</v>
      </c>
      <c r="E364">
        <v>207.7</v>
      </c>
      <c r="F364">
        <v>175.2</v>
      </c>
      <c r="G364">
        <v>177.3</v>
      </c>
      <c r="H364">
        <v>179.3</v>
      </c>
      <c r="I364">
        <v>169.5</v>
      </c>
      <c r="J364">
        <v>152.69999999999999</v>
      </c>
      <c r="K364">
        <v>171</v>
      </c>
      <c r="L364">
        <v>120</v>
      </c>
      <c r="M364">
        <v>209.7</v>
      </c>
      <c r="N364">
        <v>172.3</v>
      </c>
      <c r="O364">
        <v>193</v>
      </c>
      <c r="P364">
        <v>177</v>
      </c>
      <c r="Q364">
        <v>199.5</v>
      </c>
      <c r="R364">
        <v>186.2</v>
      </c>
      <c r="S364">
        <v>178.7</v>
      </c>
      <c r="T364">
        <v>185.1</v>
      </c>
      <c r="U364">
        <v>173.5</v>
      </c>
      <c r="V364">
        <v>182.1</v>
      </c>
      <c r="W364">
        <v>174.2</v>
      </c>
      <c r="X364">
        <v>184.4</v>
      </c>
      <c r="Y364">
        <v>164.2</v>
      </c>
      <c r="Z364">
        <v>170.3</v>
      </c>
      <c r="AA364">
        <v>175</v>
      </c>
      <c r="AB364">
        <v>181</v>
      </c>
      <c r="AC364">
        <v>174.1</v>
      </c>
      <c r="AD364">
        <v>177.2</v>
      </c>
    </row>
    <row r="365" spans="1:30" x14ac:dyDescent="0.25">
      <c r="A365" t="s">
        <v>30</v>
      </c>
      <c r="B365">
        <v>2023</v>
      </c>
      <c r="C365" t="s">
        <v>36</v>
      </c>
      <c r="D365">
        <v>174.3</v>
      </c>
      <c r="E365">
        <v>205.2</v>
      </c>
      <c r="F365">
        <v>173.9</v>
      </c>
      <c r="G365">
        <v>177</v>
      </c>
      <c r="H365">
        <v>183.3</v>
      </c>
      <c r="I365">
        <v>167.2</v>
      </c>
      <c r="J365">
        <v>140.9</v>
      </c>
      <c r="K365">
        <v>170.5</v>
      </c>
      <c r="L365">
        <v>119.1</v>
      </c>
      <c r="M365">
        <v>212.1</v>
      </c>
      <c r="N365">
        <v>177.6</v>
      </c>
      <c r="O365">
        <v>189.9</v>
      </c>
      <c r="P365">
        <v>174.8</v>
      </c>
      <c r="Q365">
        <v>198.4</v>
      </c>
      <c r="R365">
        <v>190</v>
      </c>
      <c r="S365">
        <v>187</v>
      </c>
      <c r="T365">
        <v>189.6</v>
      </c>
      <c r="U365" t="s">
        <v>32</v>
      </c>
      <c r="V365">
        <v>181.4</v>
      </c>
      <c r="W365">
        <v>178.6</v>
      </c>
      <c r="X365">
        <v>186.6</v>
      </c>
      <c r="Y365">
        <v>169</v>
      </c>
      <c r="Z365">
        <v>172.8</v>
      </c>
      <c r="AA365">
        <v>178.5</v>
      </c>
      <c r="AB365">
        <v>180.7</v>
      </c>
      <c r="AC365">
        <v>177.9</v>
      </c>
      <c r="AD365">
        <v>178</v>
      </c>
    </row>
    <row r="366" spans="1:30" x14ac:dyDescent="0.25">
      <c r="A366" t="s">
        <v>33</v>
      </c>
      <c r="B366">
        <v>2023</v>
      </c>
      <c r="C366" t="s">
        <v>36</v>
      </c>
      <c r="D366">
        <v>174.7</v>
      </c>
      <c r="E366">
        <v>212.2</v>
      </c>
      <c r="F366">
        <v>177.2</v>
      </c>
      <c r="G366">
        <v>177.9</v>
      </c>
      <c r="H366">
        <v>172.2</v>
      </c>
      <c r="I366">
        <v>172.1</v>
      </c>
      <c r="J366">
        <v>175.9</v>
      </c>
      <c r="K366">
        <v>172.2</v>
      </c>
      <c r="L366">
        <v>121.9</v>
      </c>
      <c r="M366">
        <v>204.8</v>
      </c>
      <c r="N366">
        <v>164.9</v>
      </c>
      <c r="O366">
        <v>196.6</v>
      </c>
      <c r="P366">
        <v>180.8</v>
      </c>
      <c r="Q366">
        <v>202.7</v>
      </c>
      <c r="R366">
        <v>180.2</v>
      </c>
      <c r="S366">
        <v>167</v>
      </c>
      <c r="T366">
        <v>178.2</v>
      </c>
      <c r="U366">
        <v>173.5</v>
      </c>
      <c r="V366">
        <v>182.6</v>
      </c>
      <c r="W366">
        <v>169.2</v>
      </c>
      <c r="X366">
        <v>180.8</v>
      </c>
      <c r="Y366">
        <v>159.80000000000001</v>
      </c>
      <c r="Z366">
        <v>168.4</v>
      </c>
      <c r="AA366">
        <v>172.5</v>
      </c>
      <c r="AB366">
        <v>181.5</v>
      </c>
      <c r="AC366">
        <v>170</v>
      </c>
      <c r="AD366">
        <v>176.3</v>
      </c>
    </row>
    <row r="367" spans="1:30" x14ac:dyDescent="0.25">
      <c r="A367" t="s">
        <v>34</v>
      </c>
      <c r="B367">
        <v>2023</v>
      </c>
      <c r="C367" t="s">
        <v>36</v>
      </c>
      <c r="D367">
        <v>174.4</v>
      </c>
      <c r="E367">
        <v>207.7</v>
      </c>
      <c r="F367">
        <v>175.2</v>
      </c>
      <c r="G367">
        <v>177.3</v>
      </c>
      <c r="H367">
        <v>179.2</v>
      </c>
      <c r="I367">
        <v>169.5</v>
      </c>
      <c r="J367">
        <v>152.80000000000001</v>
      </c>
      <c r="K367">
        <v>171.1</v>
      </c>
      <c r="L367">
        <v>120</v>
      </c>
      <c r="M367">
        <v>209.7</v>
      </c>
      <c r="N367">
        <v>172.3</v>
      </c>
      <c r="O367">
        <v>193</v>
      </c>
      <c r="P367">
        <v>177</v>
      </c>
      <c r="Q367">
        <v>199.5</v>
      </c>
      <c r="R367">
        <v>186.1</v>
      </c>
      <c r="S367">
        <v>178.7</v>
      </c>
      <c r="T367">
        <v>185.1</v>
      </c>
      <c r="U367">
        <v>173.5</v>
      </c>
      <c r="V367">
        <v>181.9</v>
      </c>
      <c r="W367">
        <v>174.2</v>
      </c>
      <c r="X367">
        <v>184.4</v>
      </c>
      <c r="Y367">
        <v>164.2</v>
      </c>
      <c r="Z367">
        <v>170.3</v>
      </c>
      <c r="AA367">
        <v>175</v>
      </c>
      <c r="AB367">
        <v>181</v>
      </c>
      <c r="AC367">
        <v>174.1</v>
      </c>
      <c r="AD367">
        <v>177.2</v>
      </c>
    </row>
    <row r="368" spans="1:30" x14ac:dyDescent="0.25">
      <c r="A368" t="s">
        <v>30</v>
      </c>
      <c r="B368">
        <v>2023</v>
      </c>
      <c r="C368" t="s">
        <v>37</v>
      </c>
      <c r="D368">
        <v>173.3</v>
      </c>
      <c r="E368">
        <v>206.9</v>
      </c>
      <c r="F368">
        <v>167.9</v>
      </c>
      <c r="G368">
        <v>178.2</v>
      </c>
      <c r="H368">
        <v>178.5</v>
      </c>
      <c r="I368">
        <v>173.7</v>
      </c>
      <c r="J368">
        <v>142.80000000000001</v>
      </c>
      <c r="K368">
        <v>172.8</v>
      </c>
      <c r="L368">
        <v>120.4</v>
      </c>
      <c r="M368">
        <v>215.5</v>
      </c>
      <c r="N368">
        <v>178.2</v>
      </c>
      <c r="O368">
        <v>190.5</v>
      </c>
      <c r="P368">
        <v>175.5</v>
      </c>
      <c r="Q368">
        <v>199.5</v>
      </c>
      <c r="R368">
        <v>190.7</v>
      </c>
      <c r="S368">
        <v>187.3</v>
      </c>
      <c r="T368">
        <v>190.2</v>
      </c>
      <c r="U368" t="s">
        <v>48</v>
      </c>
      <c r="V368">
        <v>181.5</v>
      </c>
      <c r="W368">
        <v>179.1</v>
      </c>
      <c r="X368">
        <v>187.2</v>
      </c>
      <c r="Y368">
        <v>169.4</v>
      </c>
      <c r="Z368">
        <v>173.2</v>
      </c>
      <c r="AA368">
        <v>179.4</v>
      </c>
      <c r="AB368">
        <v>183.8</v>
      </c>
      <c r="AC368">
        <v>178.9</v>
      </c>
      <c r="AD368">
        <v>178.8</v>
      </c>
    </row>
    <row r="369" spans="1:30" x14ac:dyDescent="0.25">
      <c r="A369" t="s">
        <v>33</v>
      </c>
      <c r="B369">
        <v>2023</v>
      </c>
      <c r="C369" t="s">
        <v>37</v>
      </c>
      <c r="D369">
        <v>174.8</v>
      </c>
      <c r="E369">
        <v>213.7</v>
      </c>
      <c r="F369">
        <v>172.4</v>
      </c>
      <c r="G369">
        <v>178.8</v>
      </c>
      <c r="H369">
        <v>168.7</v>
      </c>
      <c r="I369">
        <v>179.2</v>
      </c>
      <c r="J369">
        <v>179.9</v>
      </c>
      <c r="K369">
        <v>174.7</v>
      </c>
      <c r="L369">
        <v>123.1</v>
      </c>
      <c r="M369">
        <v>207.8</v>
      </c>
      <c r="N369">
        <v>165.5</v>
      </c>
      <c r="O369">
        <v>197</v>
      </c>
      <c r="P369">
        <v>182.1</v>
      </c>
      <c r="Q369">
        <v>203.5</v>
      </c>
      <c r="R369">
        <v>181</v>
      </c>
      <c r="S369">
        <v>167.7</v>
      </c>
      <c r="T369">
        <v>178.9</v>
      </c>
      <c r="U369">
        <v>175.2</v>
      </c>
      <c r="V369">
        <v>182.1</v>
      </c>
      <c r="W369">
        <v>169.6</v>
      </c>
      <c r="X369">
        <v>181.5</v>
      </c>
      <c r="Y369">
        <v>160.1</v>
      </c>
      <c r="Z369">
        <v>168.8</v>
      </c>
      <c r="AA369">
        <v>174.2</v>
      </c>
      <c r="AB369">
        <v>184.4</v>
      </c>
      <c r="AC369">
        <v>170.9</v>
      </c>
      <c r="AD369">
        <v>177.4</v>
      </c>
    </row>
    <row r="370" spans="1:30" x14ac:dyDescent="0.25">
      <c r="A370" t="s">
        <v>34</v>
      </c>
      <c r="B370">
        <v>2023</v>
      </c>
      <c r="C370" t="s">
        <v>37</v>
      </c>
      <c r="D370">
        <v>173.8</v>
      </c>
      <c r="E370">
        <v>209.3</v>
      </c>
      <c r="F370">
        <v>169.6</v>
      </c>
      <c r="G370">
        <v>178.4</v>
      </c>
      <c r="H370">
        <v>174.9</v>
      </c>
      <c r="I370">
        <v>176.3</v>
      </c>
      <c r="J370">
        <v>155.4</v>
      </c>
      <c r="K370">
        <v>173.4</v>
      </c>
      <c r="L370">
        <v>121.3</v>
      </c>
      <c r="M370">
        <v>212.9</v>
      </c>
      <c r="N370">
        <v>172.9</v>
      </c>
      <c r="O370">
        <v>193.5</v>
      </c>
      <c r="P370">
        <v>177.9</v>
      </c>
      <c r="Q370">
        <v>200.6</v>
      </c>
      <c r="R370">
        <v>186.9</v>
      </c>
      <c r="S370">
        <v>179.2</v>
      </c>
      <c r="T370">
        <v>185.7</v>
      </c>
      <c r="U370">
        <v>175.2</v>
      </c>
      <c r="V370">
        <v>181.7</v>
      </c>
      <c r="W370">
        <v>174.6</v>
      </c>
      <c r="X370">
        <v>185</v>
      </c>
      <c r="Y370">
        <v>164.5</v>
      </c>
      <c r="Z370">
        <v>170.7</v>
      </c>
      <c r="AA370">
        <v>176.4</v>
      </c>
      <c r="AB370">
        <v>184</v>
      </c>
      <c r="AC370">
        <v>175</v>
      </c>
      <c r="AD370">
        <v>178.1</v>
      </c>
    </row>
    <row r="371" spans="1:30" x14ac:dyDescent="0.25">
      <c r="A371" t="s">
        <v>30</v>
      </c>
      <c r="B371">
        <v>2023</v>
      </c>
      <c r="C371" t="s">
        <v>38</v>
      </c>
      <c r="D371">
        <v>173.2</v>
      </c>
      <c r="E371">
        <v>211.5</v>
      </c>
      <c r="F371">
        <v>171</v>
      </c>
      <c r="G371">
        <v>179.6</v>
      </c>
      <c r="H371">
        <v>173.3</v>
      </c>
      <c r="I371">
        <v>169</v>
      </c>
      <c r="J371">
        <v>148.69999999999999</v>
      </c>
      <c r="K371">
        <v>174.9</v>
      </c>
      <c r="L371">
        <v>121.9</v>
      </c>
      <c r="M371">
        <v>221</v>
      </c>
      <c r="N371">
        <v>178.7</v>
      </c>
      <c r="O371">
        <v>191.1</v>
      </c>
      <c r="P371">
        <v>176.8</v>
      </c>
      <c r="Q371">
        <v>199.9</v>
      </c>
      <c r="R371">
        <v>191.2</v>
      </c>
      <c r="S371">
        <v>187.9</v>
      </c>
      <c r="T371">
        <v>190.8</v>
      </c>
      <c r="U371" t="s">
        <v>48</v>
      </c>
      <c r="V371">
        <v>182.5</v>
      </c>
      <c r="W371">
        <v>179.8</v>
      </c>
      <c r="X371">
        <v>187.8</v>
      </c>
      <c r="Y371">
        <v>169.7</v>
      </c>
      <c r="Z371">
        <v>173.8</v>
      </c>
      <c r="AA371">
        <v>180.3</v>
      </c>
      <c r="AB371">
        <v>184.9</v>
      </c>
      <c r="AC371">
        <v>179.5</v>
      </c>
      <c r="AD371">
        <v>179.8</v>
      </c>
    </row>
    <row r="372" spans="1:30" x14ac:dyDescent="0.25">
      <c r="A372" t="s">
        <v>33</v>
      </c>
      <c r="B372">
        <v>2023</v>
      </c>
      <c r="C372" t="s">
        <v>38</v>
      </c>
      <c r="D372">
        <v>174.7</v>
      </c>
      <c r="E372">
        <v>219.4</v>
      </c>
      <c r="F372">
        <v>176.7</v>
      </c>
      <c r="G372">
        <v>179.4</v>
      </c>
      <c r="H372">
        <v>164.4</v>
      </c>
      <c r="I372">
        <v>175.8</v>
      </c>
      <c r="J372">
        <v>185</v>
      </c>
      <c r="K372">
        <v>176.9</v>
      </c>
      <c r="L372">
        <v>124.2</v>
      </c>
      <c r="M372">
        <v>211.9</v>
      </c>
      <c r="N372">
        <v>165.9</v>
      </c>
      <c r="O372">
        <v>197.7</v>
      </c>
      <c r="P372">
        <v>183.1</v>
      </c>
      <c r="Q372">
        <v>204.2</v>
      </c>
      <c r="R372">
        <v>181.3</v>
      </c>
      <c r="S372">
        <v>168.1</v>
      </c>
      <c r="T372">
        <v>179.3</v>
      </c>
      <c r="U372">
        <v>175.6</v>
      </c>
      <c r="V372">
        <v>183.4</v>
      </c>
      <c r="W372">
        <v>170.1</v>
      </c>
      <c r="X372">
        <v>182.2</v>
      </c>
      <c r="Y372">
        <v>160.4</v>
      </c>
      <c r="Z372">
        <v>169.2</v>
      </c>
      <c r="AA372">
        <v>174.8</v>
      </c>
      <c r="AB372">
        <v>185.6</v>
      </c>
      <c r="AC372">
        <v>171.6</v>
      </c>
      <c r="AD372">
        <v>178.2</v>
      </c>
    </row>
    <row r="373" spans="1:30" x14ac:dyDescent="0.25">
      <c r="A373" t="s">
        <v>34</v>
      </c>
      <c r="B373">
        <v>2023</v>
      </c>
      <c r="C373" t="s">
        <v>38</v>
      </c>
      <c r="D373">
        <v>173.7</v>
      </c>
      <c r="E373">
        <v>214.3</v>
      </c>
      <c r="F373">
        <v>173.2</v>
      </c>
      <c r="G373">
        <v>179.5</v>
      </c>
      <c r="H373">
        <v>170</v>
      </c>
      <c r="I373">
        <v>172.2</v>
      </c>
      <c r="J373">
        <v>161</v>
      </c>
      <c r="K373">
        <v>175.6</v>
      </c>
      <c r="L373">
        <v>122.7</v>
      </c>
      <c r="M373">
        <v>218</v>
      </c>
      <c r="N373">
        <v>173.4</v>
      </c>
      <c r="O373">
        <v>194.2</v>
      </c>
      <c r="P373">
        <v>179.1</v>
      </c>
      <c r="Q373">
        <v>201</v>
      </c>
      <c r="R373">
        <v>187.3</v>
      </c>
      <c r="S373">
        <v>179.7</v>
      </c>
      <c r="T373">
        <v>186.2</v>
      </c>
      <c r="U373">
        <v>175.6</v>
      </c>
      <c r="V373">
        <v>182.8</v>
      </c>
      <c r="W373">
        <v>175.2</v>
      </c>
      <c r="X373">
        <v>185.7</v>
      </c>
      <c r="Y373">
        <v>164.8</v>
      </c>
      <c r="Z373">
        <v>171.2</v>
      </c>
      <c r="AA373">
        <v>177.1</v>
      </c>
      <c r="AB373">
        <v>185.2</v>
      </c>
      <c r="AC373">
        <v>175.7</v>
      </c>
      <c r="AD373">
        <v>179.1</v>
      </c>
    </row>
  </sheetData>
  <autoFilter ref="A1:AD373" xr:uid="{55856E38-5FB2-4D4A-8AC2-0088FD0353D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225F-5461-4CAD-8979-2A3C347EBB2A}">
  <dimension ref="A3:J29"/>
  <sheetViews>
    <sheetView topLeftCell="A2" zoomScale="70" zoomScaleNormal="70" workbookViewId="0">
      <selection activeCell="H22" sqref="H22"/>
    </sheetView>
  </sheetViews>
  <sheetFormatPr defaultRowHeight="15" x14ac:dyDescent="0.25"/>
  <cols>
    <col min="1" max="1" width="6" bestFit="1" customWidth="1"/>
    <col min="2" max="2" width="10.7109375" bestFit="1" customWidth="1"/>
    <col min="3" max="3" width="33.42578125" bestFit="1" customWidth="1"/>
    <col min="4" max="4" width="27.140625" bestFit="1" customWidth="1"/>
    <col min="5" max="5" width="9" bestFit="1" customWidth="1"/>
    <col min="6" max="6" width="12.28515625" customWidth="1"/>
    <col min="7" max="7" width="17.42578125" customWidth="1"/>
    <col min="8" max="8" width="29.28515625" bestFit="1" customWidth="1"/>
    <col min="9" max="9" width="13" bestFit="1" customWidth="1"/>
    <col min="10" max="10" width="31.42578125" bestFit="1" customWidth="1"/>
    <col min="11" max="11" width="34.42578125" bestFit="1" customWidth="1"/>
    <col min="12" max="12" width="14.42578125" bestFit="1" customWidth="1"/>
    <col min="13" max="13" width="35" bestFit="1" customWidth="1"/>
    <col min="14" max="14" width="17" bestFit="1" customWidth="1"/>
    <col min="15" max="15" width="25.28515625" bestFit="1" customWidth="1"/>
    <col min="16" max="16" width="43.85546875" bestFit="1" customWidth="1"/>
  </cols>
  <sheetData>
    <row r="3" spans="1:10" ht="21" x14ac:dyDescent="0.35">
      <c r="B3" s="5" t="s">
        <v>57</v>
      </c>
      <c r="C3" s="4"/>
      <c r="D3" s="4"/>
      <c r="E3" s="4"/>
    </row>
    <row r="5" spans="1:10" ht="18.75" x14ac:dyDescent="0.3">
      <c r="G5" s="11" t="s">
        <v>58</v>
      </c>
      <c r="H5" s="11"/>
      <c r="I5" s="11"/>
      <c r="J5" s="4"/>
    </row>
    <row r="6" spans="1:10" x14ac:dyDescent="0.25">
      <c r="A6" s="6" t="s">
        <v>1</v>
      </c>
      <c r="B6" s="6" t="s">
        <v>2</v>
      </c>
      <c r="C6" s="6" t="s">
        <v>52</v>
      </c>
      <c r="D6" s="6" t="s">
        <v>51</v>
      </c>
      <c r="E6" s="6" t="s">
        <v>50</v>
      </c>
    </row>
    <row r="7" spans="1:10" x14ac:dyDescent="0.25">
      <c r="A7">
        <v>2023</v>
      </c>
      <c r="B7" t="s">
        <v>38</v>
      </c>
      <c r="C7" t="s">
        <v>3</v>
      </c>
      <c r="D7" t="s">
        <v>15</v>
      </c>
      <c r="E7">
        <v>173.7</v>
      </c>
    </row>
    <row r="8" spans="1:10" x14ac:dyDescent="0.25">
      <c r="A8">
        <v>2023</v>
      </c>
      <c r="B8" t="s">
        <v>38</v>
      </c>
      <c r="C8" t="s">
        <v>4</v>
      </c>
      <c r="D8" t="s">
        <v>15</v>
      </c>
      <c r="E8">
        <v>214.3</v>
      </c>
      <c r="G8" s="7" t="s">
        <v>53</v>
      </c>
      <c r="H8" s="7" t="s">
        <v>55</v>
      </c>
      <c r="I8" s="7" t="s">
        <v>56</v>
      </c>
    </row>
    <row r="9" spans="1:10" x14ac:dyDescent="0.25">
      <c r="A9">
        <v>2023</v>
      </c>
      <c r="B9" t="s">
        <v>38</v>
      </c>
      <c r="C9" t="s">
        <v>5</v>
      </c>
      <c r="D9" t="s">
        <v>15</v>
      </c>
      <c r="E9">
        <v>173.2</v>
      </c>
      <c r="G9" s="1" t="s">
        <v>19</v>
      </c>
      <c r="H9" s="2">
        <v>367</v>
      </c>
      <c r="I9" s="3">
        <f>GETPIVOTDATA("cpi value",$G$8,"broader category","Clothing and footwear")/GETPIVOTDATA("cpi value",$G$8)</f>
        <v>8.9220596100549415E-2</v>
      </c>
    </row>
    <row r="10" spans="1:10" x14ac:dyDescent="0.25">
      <c r="A10">
        <v>2023</v>
      </c>
      <c r="B10" t="s">
        <v>38</v>
      </c>
      <c r="C10" t="s">
        <v>6</v>
      </c>
      <c r="D10" t="s">
        <v>15</v>
      </c>
      <c r="E10">
        <v>179.5</v>
      </c>
      <c r="G10" s="1" t="s">
        <v>15</v>
      </c>
      <c r="H10" s="2">
        <v>2127.8000000000002</v>
      </c>
      <c r="I10" s="3">
        <f>GETPIVOTDATA("cpi value",$G$8,"broader category","Food and beverages")/GETPIVOTDATA("cpi value",$G$8)</f>
        <v>0.51728497107016091</v>
      </c>
    </row>
    <row r="11" spans="1:10" x14ac:dyDescent="0.25">
      <c r="A11">
        <v>2023</v>
      </c>
      <c r="B11" t="s">
        <v>38</v>
      </c>
      <c r="C11" t="s">
        <v>7</v>
      </c>
      <c r="D11" t="s">
        <v>15</v>
      </c>
      <c r="E11">
        <v>170</v>
      </c>
      <c r="G11" s="1" t="s">
        <v>21</v>
      </c>
      <c r="H11" s="2">
        <v>182.8</v>
      </c>
      <c r="I11" s="3">
        <f>GETPIVOTDATA("cpi value",$G$8,"broader category","Fuel and light")/GETPIVOTDATA("cpi value",$G$8)</f>
        <v>4.4440122526377204E-2</v>
      </c>
    </row>
    <row r="12" spans="1:10" x14ac:dyDescent="0.25">
      <c r="A12">
        <v>2023</v>
      </c>
      <c r="B12" t="s">
        <v>38</v>
      </c>
      <c r="C12" t="s">
        <v>8</v>
      </c>
      <c r="D12" t="s">
        <v>15</v>
      </c>
      <c r="E12">
        <v>172.2</v>
      </c>
      <c r="G12" s="1" t="s">
        <v>20</v>
      </c>
      <c r="H12" s="2">
        <v>175.6</v>
      </c>
      <c r="I12" s="3">
        <f>GETPIVOTDATA("cpi value",$G$8,"broader category","Housing")/GETPIVOTDATA("cpi value",$G$8)</f>
        <v>4.2689745709145709E-2</v>
      </c>
    </row>
    <row r="13" spans="1:10" x14ac:dyDescent="0.25">
      <c r="A13">
        <v>2023</v>
      </c>
      <c r="B13" t="s">
        <v>38</v>
      </c>
      <c r="C13" t="s">
        <v>9</v>
      </c>
      <c r="D13" t="s">
        <v>15</v>
      </c>
      <c r="E13">
        <v>161</v>
      </c>
      <c r="G13" s="1" t="s">
        <v>28</v>
      </c>
      <c r="H13" s="2">
        <v>1059.2</v>
      </c>
      <c r="I13" s="3">
        <f>GETPIVOTDATA("cpi value",$G$8,"broader category","Miscellaneous")/GETPIVOTDATA("cpi value",$G$8)</f>
        <v>0.25749987844605432</v>
      </c>
    </row>
    <row r="14" spans="1:10" x14ac:dyDescent="0.25">
      <c r="A14">
        <v>2023</v>
      </c>
      <c r="B14" t="s">
        <v>38</v>
      </c>
      <c r="C14" t="s">
        <v>10</v>
      </c>
      <c r="D14" t="s">
        <v>15</v>
      </c>
      <c r="E14">
        <v>175.6</v>
      </c>
      <c r="G14" s="1" t="s">
        <v>16</v>
      </c>
      <c r="H14" s="2">
        <v>201</v>
      </c>
      <c r="I14" s="3">
        <f>GETPIVOTDATA("cpi value",$G$8,"broader category","Pan, tobacco and intoxicants")/GETPIVOTDATA("cpi value",$G$8)</f>
        <v>4.8864686147712347E-2</v>
      </c>
    </row>
    <row r="15" spans="1:10" x14ac:dyDescent="0.25">
      <c r="A15">
        <v>2023</v>
      </c>
      <c r="B15" t="s">
        <v>38</v>
      </c>
      <c r="C15" t="s">
        <v>11</v>
      </c>
      <c r="D15" t="s">
        <v>15</v>
      </c>
      <c r="E15">
        <v>122.7</v>
      </c>
      <c r="G15" s="8" t="s">
        <v>54</v>
      </c>
      <c r="H15" s="9">
        <v>4113.4000000000005</v>
      </c>
      <c r="I15" s="10">
        <f>SUM(I9:I14)</f>
        <v>0.99999999999999989</v>
      </c>
    </row>
    <row r="16" spans="1:10" x14ac:dyDescent="0.25">
      <c r="A16">
        <v>2023</v>
      </c>
      <c r="B16" t="s">
        <v>38</v>
      </c>
      <c r="C16" t="s">
        <v>12</v>
      </c>
      <c r="D16" t="s">
        <v>15</v>
      </c>
      <c r="E16">
        <v>218</v>
      </c>
    </row>
    <row r="17" spans="1:8" x14ac:dyDescent="0.25">
      <c r="A17">
        <v>2023</v>
      </c>
      <c r="B17" t="s">
        <v>38</v>
      </c>
      <c r="C17" t="s">
        <v>13</v>
      </c>
      <c r="D17" t="s">
        <v>15</v>
      </c>
      <c r="E17">
        <v>173.4</v>
      </c>
    </row>
    <row r="18" spans="1:8" x14ac:dyDescent="0.25">
      <c r="A18">
        <v>2023</v>
      </c>
      <c r="B18" t="s">
        <v>38</v>
      </c>
      <c r="C18" t="s">
        <v>14</v>
      </c>
      <c r="D18" t="s">
        <v>15</v>
      </c>
      <c r="E18">
        <v>194.2</v>
      </c>
    </row>
    <row r="19" spans="1:8" ht="18.75" x14ac:dyDescent="0.3">
      <c r="A19">
        <v>2023</v>
      </c>
      <c r="B19" t="s">
        <v>38</v>
      </c>
      <c r="C19" t="s">
        <v>16</v>
      </c>
      <c r="D19" t="s">
        <v>16</v>
      </c>
      <c r="E19">
        <v>201</v>
      </c>
      <c r="H19" s="12" t="s">
        <v>59</v>
      </c>
    </row>
    <row r="20" spans="1:8" x14ac:dyDescent="0.25">
      <c r="A20">
        <v>2023</v>
      </c>
      <c r="B20" t="s">
        <v>38</v>
      </c>
      <c r="C20" t="s">
        <v>17</v>
      </c>
      <c r="D20" t="s">
        <v>19</v>
      </c>
      <c r="E20">
        <v>187.3</v>
      </c>
    </row>
    <row r="21" spans="1:8" x14ac:dyDescent="0.25">
      <c r="A21">
        <v>2023</v>
      </c>
      <c r="B21" t="s">
        <v>38</v>
      </c>
      <c r="C21" t="s">
        <v>18</v>
      </c>
      <c r="D21" t="s">
        <v>19</v>
      </c>
      <c r="E21">
        <v>179.7</v>
      </c>
    </row>
    <row r="22" spans="1:8" x14ac:dyDescent="0.25">
      <c r="A22">
        <v>2023</v>
      </c>
      <c r="B22" t="s">
        <v>38</v>
      </c>
      <c r="C22" t="s">
        <v>20</v>
      </c>
      <c r="D22" t="s">
        <v>20</v>
      </c>
      <c r="E22">
        <v>175.6</v>
      </c>
    </row>
    <row r="23" spans="1:8" x14ac:dyDescent="0.25">
      <c r="A23">
        <v>2023</v>
      </c>
      <c r="B23" t="s">
        <v>38</v>
      </c>
      <c r="C23" t="s">
        <v>21</v>
      </c>
      <c r="D23" t="s">
        <v>21</v>
      </c>
      <c r="E23">
        <v>182.8</v>
      </c>
    </row>
    <row r="24" spans="1:8" x14ac:dyDescent="0.25">
      <c r="A24">
        <v>2023</v>
      </c>
      <c r="B24" t="s">
        <v>38</v>
      </c>
      <c r="C24" t="s">
        <v>22</v>
      </c>
      <c r="D24" t="s">
        <v>28</v>
      </c>
      <c r="E24">
        <v>175.2</v>
      </c>
    </row>
    <row r="25" spans="1:8" x14ac:dyDescent="0.25">
      <c r="A25">
        <v>2023</v>
      </c>
      <c r="B25" t="s">
        <v>38</v>
      </c>
      <c r="C25" t="s">
        <v>23</v>
      </c>
      <c r="D25" t="s">
        <v>28</v>
      </c>
      <c r="E25">
        <v>185.7</v>
      </c>
    </row>
    <row r="26" spans="1:8" x14ac:dyDescent="0.25">
      <c r="A26">
        <v>2023</v>
      </c>
      <c r="B26" t="s">
        <v>38</v>
      </c>
      <c r="C26" t="s">
        <v>49</v>
      </c>
      <c r="D26" t="s">
        <v>28</v>
      </c>
      <c r="E26">
        <v>164.8</v>
      </c>
    </row>
    <row r="27" spans="1:8" x14ac:dyDescent="0.25">
      <c r="A27">
        <v>2023</v>
      </c>
      <c r="B27" t="s">
        <v>38</v>
      </c>
      <c r="C27" t="s">
        <v>25</v>
      </c>
      <c r="D27" t="s">
        <v>28</v>
      </c>
      <c r="E27">
        <v>171.2</v>
      </c>
    </row>
    <row r="28" spans="1:8" x14ac:dyDescent="0.25">
      <c r="A28">
        <v>2023</v>
      </c>
      <c r="B28" t="s">
        <v>38</v>
      </c>
      <c r="C28" t="s">
        <v>26</v>
      </c>
      <c r="D28" t="s">
        <v>28</v>
      </c>
      <c r="E28">
        <v>177.1</v>
      </c>
    </row>
    <row r="29" spans="1:8" x14ac:dyDescent="0.25">
      <c r="A29">
        <v>2023</v>
      </c>
      <c r="B29" t="s">
        <v>38</v>
      </c>
      <c r="C29" t="s">
        <v>27</v>
      </c>
      <c r="D29" t="s">
        <v>28</v>
      </c>
      <c r="E29">
        <v>185.2</v>
      </c>
    </row>
  </sheetData>
  <phoneticPr fontId="18" type="noConversion"/>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A1A1C-6992-4D42-A83C-6CD6EC057815}">
  <dimension ref="A3:G18"/>
  <sheetViews>
    <sheetView topLeftCell="A2" zoomScale="80" workbookViewId="0">
      <selection activeCell="G29" sqref="G29"/>
    </sheetView>
  </sheetViews>
  <sheetFormatPr defaultRowHeight="15" x14ac:dyDescent="0.25"/>
  <cols>
    <col min="1" max="1" width="13.42578125" bestFit="1" customWidth="1"/>
    <col min="2" max="2" width="23.85546875" bestFit="1" customWidth="1"/>
    <col min="5" max="5" width="5.5703125" customWidth="1"/>
    <col min="6" max="6" width="18" bestFit="1" customWidth="1"/>
  </cols>
  <sheetData>
    <row r="3" spans="1:7" x14ac:dyDescent="0.25">
      <c r="A3" s="23" t="s">
        <v>53</v>
      </c>
      <c r="B3" t="s">
        <v>78</v>
      </c>
    </row>
    <row r="4" spans="1:7" ht="15.75" x14ac:dyDescent="0.25">
      <c r="A4" s="1">
        <v>2013</v>
      </c>
      <c r="B4" s="2">
        <v>110.01388888888889</v>
      </c>
      <c r="E4" s="30" t="s">
        <v>80</v>
      </c>
      <c r="F4" s="30"/>
      <c r="G4" s="13"/>
    </row>
    <row r="5" spans="1:7" x14ac:dyDescent="0.25">
      <c r="A5" s="1">
        <v>2014</v>
      </c>
      <c r="B5" s="2">
        <v>117.32777777777775</v>
      </c>
    </row>
    <row r="6" spans="1:7" x14ac:dyDescent="0.25">
      <c r="A6" s="1">
        <v>2015</v>
      </c>
      <c r="B6" s="2">
        <v>123.0361111111111</v>
      </c>
      <c r="E6" s="32" t="s">
        <v>1</v>
      </c>
      <c r="F6" s="32" t="s">
        <v>79</v>
      </c>
    </row>
    <row r="7" spans="1:7" x14ac:dyDescent="0.25">
      <c r="A7" s="1">
        <v>2016</v>
      </c>
      <c r="B7" s="2">
        <v>129.10000000000002</v>
      </c>
      <c r="E7" s="31">
        <v>2017</v>
      </c>
      <c r="F7" s="16">
        <f>(GETPIVOTDATA("General index",$A$3,"Year",2017)-GETPIVOTDATA("General index",$A$3,"Year",2016))/GETPIVOTDATA("General index",$A$3,"Year",2016)</f>
        <v>3.3199931147258686E-2</v>
      </c>
    </row>
    <row r="8" spans="1:7" x14ac:dyDescent="0.25">
      <c r="A8" s="1">
        <v>2017</v>
      </c>
      <c r="B8" s="2">
        <v>133.38611111111112</v>
      </c>
      <c r="E8" s="31">
        <v>2018</v>
      </c>
      <c r="F8" s="16">
        <f>(GETPIVOTDATA("General index",$A$3,"Year",2018)-GETPIVOTDATA("General index",$A$3,"Year",2017))/GETPIVOTDATA("General index",$A$3,"Year",2017)</f>
        <v>3.9609321310314437E-2</v>
      </c>
    </row>
    <row r="9" spans="1:7" x14ac:dyDescent="0.25">
      <c r="A9" s="1">
        <v>2018</v>
      </c>
      <c r="B9" s="2">
        <v>138.66944444444442</v>
      </c>
      <c r="E9" s="31">
        <v>2019</v>
      </c>
      <c r="F9" s="16">
        <f>(GETPIVOTDATA("General index",$A$3,"Year",2019)-GETPIVOTDATA("General index",$A$3,"Year",2018))/GETPIVOTDATA("General index",$A$3,"Year",2018)</f>
        <v>3.9358550145593821E-2</v>
      </c>
    </row>
    <row r="10" spans="1:7" x14ac:dyDescent="0.25">
      <c r="A10" s="1">
        <v>2019</v>
      </c>
      <c r="B10" s="2">
        <v>144.12727272727273</v>
      </c>
      <c r="E10" s="31">
        <v>2020</v>
      </c>
      <c r="F10" s="16">
        <f>(GETPIVOTDATA("General index",$A$3,"Year",2020)-GETPIVOTDATA("General index",$A$3,"Year",2019))/GETPIVOTDATA("General index",$A$3,"Year",2019)</f>
        <v>6.3851393969975745E-2</v>
      </c>
    </row>
    <row r="11" spans="1:7" x14ac:dyDescent="0.25">
      <c r="A11" s="1">
        <v>2020</v>
      </c>
      <c r="B11" s="2">
        <v>153.32999999999996</v>
      </c>
      <c r="E11" s="31">
        <v>2021</v>
      </c>
      <c r="F11" s="16">
        <f>(GETPIVOTDATA("General index",$A$3,"Year",2021)-GETPIVOTDATA("General index",$A$3,"Year",2020))/GETPIVOTDATA("General index",$A$3,"Year",2020)</f>
        <v>5.274027696254309E-2</v>
      </c>
    </row>
    <row r="12" spans="1:7" x14ac:dyDescent="0.25">
      <c r="A12" s="1">
        <v>2021</v>
      </c>
      <c r="B12" s="2">
        <v>161.41666666666669</v>
      </c>
      <c r="E12" s="31">
        <v>2022</v>
      </c>
      <c r="F12" s="16">
        <f>(GETPIVOTDATA("General index",$A$3,"Year",2022)-GETPIVOTDATA("General index",$A$3,"Year",2021))/GETPIVOTDATA("General index",$A$3,"Year",2021)</f>
        <v>6.6029943211151423E-2</v>
      </c>
    </row>
    <row r="13" spans="1:7" x14ac:dyDescent="0.25">
      <c r="A13" s="1">
        <v>2022</v>
      </c>
      <c r="B13" s="2">
        <v>172.07500000000005</v>
      </c>
      <c r="E13" s="31">
        <v>2023</v>
      </c>
      <c r="F13" s="16">
        <f>(GETPIVOTDATA("General index",$A$3,"Year",2023)-GETPIVOTDATA("General index",$A$3,"Year",2022))/GETPIVOTDATA("General index",$A$3,"Year",2022)</f>
        <v>3.1953121216523474E-2</v>
      </c>
    </row>
    <row r="14" spans="1:7" x14ac:dyDescent="0.25">
      <c r="A14" s="1">
        <v>2023</v>
      </c>
      <c r="B14" s="2">
        <v>177.57333333333332</v>
      </c>
    </row>
    <row r="15" spans="1:7" x14ac:dyDescent="0.25">
      <c r="A15" s="1" t="s">
        <v>54</v>
      </c>
      <c r="B15" s="2">
        <v>139.56448087431698</v>
      </c>
    </row>
    <row r="18" spans="3:6" ht="15.75" x14ac:dyDescent="0.25">
      <c r="C18" s="13" t="s">
        <v>81</v>
      </c>
      <c r="D18" s="13"/>
      <c r="E18" s="13"/>
      <c r="F18" s="13"/>
    </row>
  </sheetData>
  <conditionalFormatting sqref="F7:F13">
    <cfRule type="colorScale" priority="1">
      <colorScale>
        <cfvo type="min"/>
        <cfvo type="percentile" val="50"/>
        <cfvo type="max"/>
        <color rgb="FF63BE7B"/>
        <color rgb="FFFFEB84"/>
        <color rgb="FFF8696B"/>
      </colorScale>
    </cfRule>
  </conditionalFormatting>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4867-6467-434C-869C-1006F3617AFB}">
  <dimension ref="A1:N32"/>
  <sheetViews>
    <sheetView zoomScale="63" zoomScaleNormal="120" workbookViewId="0">
      <selection activeCell="G17" sqref="G17"/>
    </sheetView>
  </sheetViews>
  <sheetFormatPr defaultRowHeight="15" x14ac:dyDescent="0.25"/>
  <cols>
    <col min="1" max="1" width="6.5703125" customWidth="1"/>
    <col min="2" max="2" width="10.28515625" bestFit="1" customWidth="1"/>
    <col min="3" max="3" width="20" bestFit="1" customWidth="1"/>
    <col min="4" max="4" width="12.85546875" bestFit="1" customWidth="1"/>
    <col min="5" max="5" width="6.85546875" bestFit="1" customWidth="1"/>
    <col min="6" max="6" width="17" bestFit="1" customWidth="1"/>
    <col min="7" max="7" width="12.140625" bestFit="1" customWidth="1"/>
    <col min="8" max="8" width="6.85546875" bestFit="1" customWidth="1"/>
    <col min="9" max="9" width="10.5703125" bestFit="1" customWidth="1"/>
    <col min="10" max="10" width="19.28515625" bestFit="1" customWidth="1"/>
    <col min="11" max="11" width="22.7109375" bestFit="1" customWidth="1"/>
    <col min="12" max="12" width="6.7109375" bestFit="1" customWidth="1"/>
    <col min="13" max="13" width="23.42578125" bestFit="1" customWidth="1"/>
    <col min="14" max="14" width="33.42578125" bestFit="1" customWidth="1"/>
  </cols>
  <sheetData>
    <row r="1" spans="1:14" x14ac:dyDescent="0.25">
      <c r="A1" s="14" t="s">
        <v>1</v>
      </c>
      <c r="B1" s="14" t="s">
        <v>2</v>
      </c>
      <c r="C1" s="14" t="s">
        <v>3</v>
      </c>
      <c r="D1" s="14" t="s">
        <v>4</v>
      </c>
      <c r="E1" s="14" t="s">
        <v>5</v>
      </c>
      <c r="F1" s="14" t="s">
        <v>6</v>
      </c>
      <c r="G1" s="14" t="s">
        <v>7</v>
      </c>
      <c r="H1" s="14" t="s">
        <v>8</v>
      </c>
      <c r="I1" s="14" t="s">
        <v>9</v>
      </c>
      <c r="J1" s="14" t="s">
        <v>10</v>
      </c>
      <c r="K1" s="14" t="s">
        <v>11</v>
      </c>
      <c r="L1" s="14" t="s">
        <v>12</v>
      </c>
      <c r="M1" s="14" t="s">
        <v>13</v>
      </c>
      <c r="N1" s="14" t="s">
        <v>14</v>
      </c>
    </row>
    <row r="2" spans="1:14" x14ac:dyDescent="0.25">
      <c r="A2" s="14">
        <v>2022</v>
      </c>
      <c r="B2" s="14" t="s">
        <v>38</v>
      </c>
      <c r="C2" s="14">
        <v>154.1</v>
      </c>
      <c r="D2" s="14">
        <v>217</v>
      </c>
      <c r="E2" s="14">
        <v>162.4</v>
      </c>
      <c r="F2" s="14">
        <v>164.9</v>
      </c>
      <c r="G2" s="14">
        <v>202.4</v>
      </c>
      <c r="H2" s="14">
        <v>171</v>
      </c>
      <c r="I2" s="14">
        <v>174.9</v>
      </c>
      <c r="J2" s="14">
        <v>164.7</v>
      </c>
      <c r="K2" s="14">
        <v>119.7</v>
      </c>
      <c r="L2" s="14">
        <v>184.9</v>
      </c>
      <c r="M2" s="14">
        <v>167.1</v>
      </c>
      <c r="N2" s="14">
        <v>182.5</v>
      </c>
    </row>
    <row r="3" spans="1:14" x14ac:dyDescent="0.25">
      <c r="A3" s="14">
        <v>2022</v>
      </c>
      <c r="B3" s="14" t="s">
        <v>39</v>
      </c>
      <c r="C3" s="14">
        <v>155</v>
      </c>
      <c r="D3" s="14">
        <v>219.4</v>
      </c>
      <c r="E3" s="14">
        <v>170.8</v>
      </c>
      <c r="F3" s="14">
        <v>165.8</v>
      </c>
      <c r="G3" s="14">
        <v>200.9</v>
      </c>
      <c r="H3" s="14">
        <v>169.7</v>
      </c>
      <c r="I3" s="14">
        <v>182.3</v>
      </c>
      <c r="J3" s="14">
        <v>164.3</v>
      </c>
      <c r="K3" s="14">
        <v>119.9</v>
      </c>
      <c r="L3" s="14">
        <v>187.1</v>
      </c>
      <c r="M3" s="14">
        <v>167.9</v>
      </c>
      <c r="N3" s="14">
        <v>183.9</v>
      </c>
    </row>
    <row r="4" spans="1:14" x14ac:dyDescent="0.25">
      <c r="A4" s="14">
        <v>2022</v>
      </c>
      <c r="B4" s="14" t="s">
        <v>40</v>
      </c>
      <c r="C4" s="14">
        <v>156.5</v>
      </c>
      <c r="D4" s="14">
        <v>213</v>
      </c>
      <c r="E4" s="14">
        <v>175.2</v>
      </c>
      <c r="F4" s="14">
        <v>166.6</v>
      </c>
      <c r="G4" s="14">
        <v>195.8</v>
      </c>
      <c r="H4" s="14">
        <v>174.2</v>
      </c>
      <c r="I4" s="14">
        <v>182.1</v>
      </c>
      <c r="J4" s="14">
        <v>164.3</v>
      </c>
      <c r="K4" s="14">
        <v>120</v>
      </c>
      <c r="L4" s="14">
        <v>190</v>
      </c>
      <c r="M4" s="14">
        <v>168.4</v>
      </c>
      <c r="N4" s="14">
        <v>185.2</v>
      </c>
    </row>
    <row r="5" spans="1:14" x14ac:dyDescent="0.25">
      <c r="A5" s="14">
        <v>2022</v>
      </c>
      <c r="B5" s="14" t="s">
        <v>41</v>
      </c>
      <c r="C5" s="14">
        <v>160.30000000000001</v>
      </c>
      <c r="D5" s="14">
        <v>206.5</v>
      </c>
      <c r="E5" s="14">
        <v>169.2</v>
      </c>
      <c r="F5" s="14">
        <v>168.1</v>
      </c>
      <c r="G5" s="14">
        <v>192.4</v>
      </c>
      <c r="H5" s="14">
        <v>172.9</v>
      </c>
      <c r="I5" s="14">
        <v>186.7</v>
      </c>
      <c r="J5" s="14">
        <v>167.2</v>
      </c>
      <c r="K5" s="14">
        <v>120.9</v>
      </c>
      <c r="L5" s="14">
        <v>193.6</v>
      </c>
      <c r="M5" s="14">
        <v>168.8</v>
      </c>
      <c r="N5" s="14">
        <v>186.3</v>
      </c>
    </row>
    <row r="6" spans="1:14" x14ac:dyDescent="0.25">
      <c r="A6" s="14">
        <v>2022</v>
      </c>
      <c r="B6" s="14" t="s">
        <v>42</v>
      </c>
      <c r="C6" s="14">
        <v>163.5</v>
      </c>
      <c r="D6" s="14">
        <v>209.2</v>
      </c>
      <c r="E6" s="14">
        <v>169.7</v>
      </c>
      <c r="F6" s="14">
        <v>169.7</v>
      </c>
      <c r="G6" s="14">
        <v>188.7</v>
      </c>
      <c r="H6" s="14">
        <v>165.7</v>
      </c>
      <c r="I6" s="14">
        <v>191.8</v>
      </c>
      <c r="J6" s="14">
        <v>169.1</v>
      </c>
      <c r="K6" s="14">
        <v>121.6</v>
      </c>
      <c r="L6" s="14">
        <v>197.3</v>
      </c>
      <c r="M6" s="14">
        <v>169.4</v>
      </c>
      <c r="N6" s="14">
        <v>187.4</v>
      </c>
    </row>
    <row r="7" spans="1:14" x14ac:dyDescent="0.25">
      <c r="A7" s="14">
        <v>2022</v>
      </c>
      <c r="B7" s="14" t="s">
        <v>43</v>
      </c>
      <c r="C7" s="14">
        <v>165.2</v>
      </c>
      <c r="D7" s="14">
        <v>210.9</v>
      </c>
      <c r="E7" s="14">
        <v>170.9</v>
      </c>
      <c r="F7" s="14">
        <v>170.9</v>
      </c>
      <c r="G7" s="14">
        <v>186.5</v>
      </c>
      <c r="H7" s="14">
        <v>163.80000000000001</v>
      </c>
      <c r="I7" s="14">
        <v>199.7</v>
      </c>
      <c r="J7" s="14">
        <v>169.8</v>
      </c>
      <c r="K7" s="14">
        <v>121.9</v>
      </c>
      <c r="L7" s="14">
        <v>199.9</v>
      </c>
      <c r="M7" s="14">
        <v>169.9</v>
      </c>
      <c r="N7" s="14">
        <v>188.3</v>
      </c>
    </row>
    <row r="8" spans="1:14" x14ac:dyDescent="0.25">
      <c r="A8" s="14">
        <v>2022</v>
      </c>
      <c r="B8" s="14" t="s">
        <v>45</v>
      </c>
      <c r="C8" s="14">
        <v>167.4</v>
      </c>
      <c r="D8" s="14">
        <v>209.4</v>
      </c>
      <c r="E8" s="14">
        <v>181.4</v>
      </c>
      <c r="F8" s="14">
        <v>172.3</v>
      </c>
      <c r="G8" s="14">
        <v>188.9</v>
      </c>
      <c r="H8" s="14">
        <v>160.69999999999999</v>
      </c>
      <c r="I8" s="14">
        <v>183.1</v>
      </c>
      <c r="J8" s="14">
        <v>170.5</v>
      </c>
      <c r="K8" s="14">
        <v>122.1</v>
      </c>
      <c r="L8" s="14">
        <v>202.8</v>
      </c>
      <c r="M8" s="14">
        <v>170.4</v>
      </c>
      <c r="N8" s="14">
        <v>189.5</v>
      </c>
    </row>
    <row r="9" spans="1:14" x14ac:dyDescent="0.25">
      <c r="A9" s="14">
        <v>2022</v>
      </c>
      <c r="B9" s="14" t="s">
        <v>46</v>
      </c>
      <c r="C9" s="14">
        <v>169.2</v>
      </c>
      <c r="D9" s="14">
        <v>209</v>
      </c>
      <c r="E9" s="14">
        <v>190.2</v>
      </c>
      <c r="F9" s="14">
        <v>173.6</v>
      </c>
      <c r="G9" s="14">
        <v>188.5</v>
      </c>
      <c r="H9" s="14">
        <v>158</v>
      </c>
      <c r="I9" s="14">
        <v>159.9</v>
      </c>
      <c r="J9" s="14">
        <v>170.8</v>
      </c>
      <c r="K9" s="14">
        <v>121.8</v>
      </c>
      <c r="L9" s="14">
        <v>205.2</v>
      </c>
      <c r="M9" s="14">
        <v>171</v>
      </c>
      <c r="N9" s="14">
        <v>190.3</v>
      </c>
    </row>
    <row r="10" spans="1:14" x14ac:dyDescent="0.25">
      <c r="A10" s="14">
        <v>2023</v>
      </c>
      <c r="B10" s="14" t="s">
        <v>31</v>
      </c>
      <c r="C10" s="14">
        <v>173.8</v>
      </c>
      <c r="D10" s="14">
        <v>210.7</v>
      </c>
      <c r="E10" s="14">
        <v>194.5</v>
      </c>
      <c r="F10" s="14">
        <v>174.6</v>
      </c>
      <c r="G10" s="14">
        <v>187.2</v>
      </c>
      <c r="H10" s="14">
        <v>158.30000000000001</v>
      </c>
      <c r="I10" s="14">
        <v>153.9</v>
      </c>
      <c r="J10" s="14">
        <v>170.9</v>
      </c>
      <c r="K10" s="14">
        <v>121.1</v>
      </c>
      <c r="L10" s="14">
        <v>208.4</v>
      </c>
      <c r="M10" s="14">
        <v>171.4</v>
      </c>
      <c r="N10" s="14">
        <v>191.2</v>
      </c>
    </row>
    <row r="11" spans="1:14" x14ac:dyDescent="0.25">
      <c r="A11" s="14">
        <v>2023</v>
      </c>
      <c r="B11" s="14" t="s">
        <v>35</v>
      </c>
      <c r="C11" s="14">
        <v>174.4</v>
      </c>
      <c r="D11" s="14">
        <v>207.7</v>
      </c>
      <c r="E11" s="14">
        <v>175.2</v>
      </c>
      <c r="F11" s="14">
        <v>177.3</v>
      </c>
      <c r="G11" s="14">
        <v>179.3</v>
      </c>
      <c r="H11" s="14">
        <v>169.5</v>
      </c>
      <c r="I11" s="14">
        <v>152.69999999999999</v>
      </c>
      <c r="J11" s="14">
        <v>171</v>
      </c>
      <c r="K11" s="14">
        <v>120</v>
      </c>
      <c r="L11" s="14">
        <v>209.7</v>
      </c>
      <c r="M11" s="14">
        <v>172.3</v>
      </c>
      <c r="N11" s="14">
        <v>193</v>
      </c>
    </row>
    <row r="12" spans="1:14" x14ac:dyDescent="0.25">
      <c r="A12" s="14">
        <v>2023</v>
      </c>
      <c r="B12" s="14" t="s">
        <v>36</v>
      </c>
      <c r="C12" s="14">
        <v>174.4</v>
      </c>
      <c r="D12" s="14">
        <v>207.7</v>
      </c>
      <c r="E12" s="14">
        <v>175.2</v>
      </c>
      <c r="F12" s="14">
        <v>177.3</v>
      </c>
      <c r="G12" s="14">
        <v>179.2</v>
      </c>
      <c r="H12" s="14">
        <v>169.5</v>
      </c>
      <c r="I12" s="14">
        <v>152.80000000000001</v>
      </c>
      <c r="J12" s="14">
        <v>171.1</v>
      </c>
      <c r="K12" s="14">
        <v>120</v>
      </c>
      <c r="L12" s="14">
        <v>209.7</v>
      </c>
      <c r="M12" s="14">
        <v>172.3</v>
      </c>
      <c r="N12" s="14">
        <v>193</v>
      </c>
    </row>
    <row r="13" spans="1:14" x14ac:dyDescent="0.25">
      <c r="A13" s="14">
        <v>2023</v>
      </c>
      <c r="B13" s="14" t="s">
        <v>37</v>
      </c>
      <c r="C13" s="14">
        <v>173.8</v>
      </c>
      <c r="D13" s="14">
        <v>209.3</v>
      </c>
      <c r="E13" s="14">
        <v>169.6</v>
      </c>
      <c r="F13" s="14">
        <v>178.4</v>
      </c>
      <c r="G13" s="14">
        <v>174.9</v>
      </c>
      <c r="H13" s="14">
        <v>176.3</v>
      </c>
      <c r="I13" s="14">
        <v>155.4</v>
      </c>
      <c r="J13" s="14">
        <v>173.4</v>
      </c>
      <c r="K13" s="14">
        <v>121.3</v>
      </c>
      <c r="L13" s="14">
        <v>212.9</v>
      </c>
      <c r="M13" s="14">
        <v>172.9</v>
      </c>
      <c r="N13" s="14">
        <v>193.5</v>
      </c>
    </row>
    <row r="14" spans="1:14" x14ac:dyDescent="0.25">
      <c r="A14" s="14">
        <v>2023</v>
      </c>
      <c r="B14" s="14" t="s">
        <v>38</v>
      </c>
      <c r="C14" s="14">
        <v>173.7</v>
      </c>
      <c r="D14" s="14">
        <v>214.3</v>
      </c>
      <c r="E14" s="14">
        <v>173.2</v>
      </c>
      <c r="F14" s="14">
        <v>179.5</v>
      </c>
      <c r="G14" s="14">
        <v>170</v>
      </c>
      <c r="H14" s="14">
        <v>172.2</v>
      </c>
      <c r="I14" s="14">
        <v>161</v>
      </c>
      <c r="J14" s="14">
        <v>175.6</v>
      </c>
      <c r="K14" s="14">
        <v>122.7</v>
      </c>
      <c r="L14" s="14">
        <v>218</v>
      </c>
      <c r="M14" s="14">
        <v>173.4</v>
      </c>
      <c r="N14" s="14">
        <v>194.2</v>
      </c>
    </row>
    <row r="17" spans="1:14" x14ac:dyDescent="0.25">
      <c r="A17" s="15" t="s">
        <v>1</v>
      </c>
      <c r="B17" s="15" t="s">
        <v>2</v>
      </c>
      <c r="C17" s="15" t="s">
        <v>3</v>
      </c>
      <c r="D17" s="15" t="s">
        <v>4</v>
      </c>
      <c r="E17" s="15" t="s">
        <v>5</v>
      </c>
      <c r="F17" s="15" t="s">
        <v>6</v>
      </c>
      <c r="G17" s="15" t="s">
        <v>7</v>
      </c>
      <c r="H17" s="15" t="s">
        <v>8</v>
      </c>
      <c r="I17" s="15" t="s">
        <v>9</v>
      </c>
      <c r="J17" s="15" t="s">
        <v>10</v>
      </c>
      <c r="K17" s="15" t="s">
        <v>11</v>
      </c>
      <c r="L17" s="15" t="s">
        <v>12</v>
      </c>
      <c r="M17" s="15" t="s">
        <v>13</v>
      </c>
      <c r="N17" s="15" t="s">
        <v>14</v>
      </c>
    </row>
    <row r="18" spans="1:14" x14ac:dyDescent="0.25">
      <c r="A18" s="14">
        <v>2022</v>
      </c>
      <c r="B18" s="14" t="s">
        <v>39</v>
      </c>
      <c r="C18" s="16">
        <v>6.0000000000000001E-3</v>
      </c>
      <c r="D18" s="16">
        <v>1.0999999999999999E-2</v>
      </c>
      <c r="E18" s="16">
        <v>5.1999999999999998E-2</v>
      </c>
      <c r="F18" s="16">
        <v>5.0000000000000001E-3</v>
      </c>
      <c r="G18" s="16">
        <v>-7.0000000000000001E-3</v>
      </c>
      <c r="H18" s="16">
        <v>-8.0000000000000002E-3</v>
      </c>
      <c r="I18" s="16">
        <v>4.2000000000000003E-2</v>
      </c>
      <c r="J18" s="16">
        <v>-2E-3</v>
      </c>
      <c r="K18" s="16">
        <v>2E-3</v>
      </c>
      <c r="L18" s="16">
        <v>1.2E-2</v>
      </c>
      <c r="M18" s="16">
        <v>5.0000000000000001E-3</v>
      </c>
      <c r="N18" s="16">
        <v>8.0000000000000002E-3</v>
      </c>
    </row>
    <row r="19" spans="1:14" x14ac:dyDescent="0.25">
      <c r="A19" s="14">
        <v>2022</v>
      </c>
      <c r="B19" s="14" t="s">
        <v>40</v>
      </c>
      <c r="C19" s="16">
        <v>0.01</v>
      </c>
      <c r="D19" s="16">
        <v>-2.9000000000000001E-2</v>
      </c>
      <c r="E19" s="16">
        <v>2.5999999999999999E-2</v>
      </c>
      <c r="F19" s="16">
        <v>5.0000000000000001E-3</v>
      </c>
      <c r="G19" s="16">
        <v>-2.5000000000000001E-2</v>
      </c>
      <c r="H19" s="16">
        <v>2.7E-2</v>
      </c>
      <c r="I19" s="16">
        <v>-1E-3</v>
      </c>
      <c r="J19" s="16">
        <v>0</v>
      </c>
      <c r="K19" s="16">
        <v>1E-3</v>
      </c>
      <c r="L19" s="16">
        <v>1.4999999999999999E-2</v>
      </c>
      <c r="M19" s="16">
        <v>3.0000000000000001E-3</v>
      </c>
      <c r="N19" s="16">
        <v>7.0000000000000001E-3</v>
      </c>
    </row>
    <row r="20" spans="1:14" x14ac:dyDescent="0.25">
      <c r="A20" s="14">
        <v>2022</v>
      </c>
      <c r="B20" s="14" t="s">
        <v>41</v>
      </c>
      <c r="C20" s="16">
        <v>2.4E-2</v>
      </c>
      <c r="D20" s="16">
        <v>-3.1E-2</v>
      </c>
      <c r="E20" s="16">
        <v>-3.4000000000000002E-2</v>
      </c>
      <c r="F20" s="16">
        <v>8.9999999999999993E-3</v>
      </c>
      <c r="G20" s="16">
        <v>-1.7000000000000001E-2</v>
      </c>
      <c r="H20" s="16">
        <v>-7.0000000000000001E-3</v>
      </c>
      <c r="I20" s="16">
        <v>2.5000000000000001E-2</v>
      </c>
      <c r="J20" s="16">
        <v>1.7999999999999999E-2</v>
      </c>
      <c r="K20" s="16">
        <v>8.0000000000000002E-3</v>
      </c>
      <c r="L20" s="16">
        <v>1.9E-2</v>
      </c>
      <c r="M20" s="16">
        <v>2E-3</v>
      </c>
      <c r="N20" s="16">
        <v>6.0000000000000001E-3</v>
      </c>
    </row>
    <row r="21" spans="1:14" x14ac:dyDescent="0.25">
      <c r="A21" s="14">
        <v>2022</v>
      </c>
      <c r="B21" s="14" t="s">
        <v>42</v>
      </c>
      <c r="C21" s="16">
        <v>0.02</v>
      </c>
      <c r="D21" s="16">
        <v>1.2999999999999999E-2</v>
      </c>
      <c r="E21" s="16">
        <v>3.0000000000000001E-3</v>
      </c>
      <c r="F21" s="16">
        <v>0.01</v>
      </c>
      <c r="G21" s="16">
        <v>-1.9E-2</v>
      </c>
      <c r="H21" s="16">
        <v>-4.2000000000000003E-2</v>
      </c>
      <c r="I21" s="16">
        <v>2.7E-2</v>
      </c>
      <c r="J21" s="16">
        <v>1.0999999999999999E-2</v>
      </c>
      <c r="K21" s="16">
        <v>6.0000000000000001E-3</v>
      </c>
      <c r="L21" s="16">
        <v>1.9E-2</v>
      </c>
      <c r="M21" s="16">
        <v>4.0000000000000001E-3</v>
      </c>
      <c r="N21" s="16">
        <v>6.0000000000000001E-3</v>
      </c>
    </row>
    <row r="22" spans="1:14" x14ac:dyDescent="0.25">
      <c r="A22" s="14">
        <v>2022</v>
      </c>
      <c r="B22" s="14" t="s">
        <v>43</v>
      </c>
      <c r="C22" s="16">
        <v>0.01</v>
      </c>
      <c r="D22" s="16">
        <v>8.0000000000000002E-3</v>
      </c>
      <c r="E22" s="16">
        <v>7.0000000000000001E-3</v>
      </c>
      <c r="F22" s="16">
        <v>7.0000000000000001E-3</v>
      </c>
      <c r="G22" s="16">
        <v>-1.2E-2</v>
      </c>
      <c r="H22" s="16">
        <v>-1.0999999999999999E-2</v>
      </c>
      <c r="I22" s="16">
        <v>4.1000000000000002E-2</v>
      </c>
      <c r="J22" s="16">
        <v>4.0000000000000001E-3</v>
      </c>
      <c r="K22" s="16">
        <v>2E-3</v>
      </c>
      <c r="L22" s="16">
        <v>1.2999999999999999E-2</v>
      </c>
      <c r="M22" s="16">
        <v>3.0000000000000001E-3</v>
      </c>
      <c r="N22" s="16">
        <v>5.0000000000000001E-3</v>
      </c>
    </row>
    <row r="23" spans="1:14" x14ac:dyDescent="0.25">
      <c r="A23" s="14">
        <v>2022</v>
      </c>
      <c r="B23" s="14" t="s">
        <v>45</v>
      </c>
      <c r="C23" s="16">
        <v>1.2999999999999999E-2</v>
      </c>
      <c r="D23" s="16">
        <v>-7.0000000000000001E-3</v>
      </c>
      <c r="E23" s="16">
        <v>6.0999999999999999E-2</v>
      </c>
      <c r="F23" s="16">
        <v>8.0000000000000002E-3</v>
      </c>
      <c r="G23" s="16">
        <v>1.2999999999999999E-2</v>
      </c>
      <c r="H23" s="16">
        <v>-1.9E-2</v>
      </c>
      <c r="I23" s="16">
        <v>-8.3000000000000004E-2</v>
      </c>
      <c r="J23" s="16">
        <v>4.0000000000000001E-3</v>
      </c>
      <c r="K23" s="16">
        <v>2E-3</v>
      </c>
      <c r="L23" s="16">
        <v>1.4999999999999999E-2</v>
      </c>
      <c r="M23" s="16">
        <v>3.0000000000000001E-3</v>
      </c>
      <c r="N23" s="16">
        <v>6.0000000000000001E-3</v>
      </c>
    </row>
    <row r="24" spans="1:14" x14ac:dyDescent="0.25">
      <c r="A24" s="14">
        <v>2022</v>
      </c>
      <c r="B24" s="14" t="s">
        <v>46</v>
      </c>
      <c r="C24" s="16">
        <v>1.0999999999999999E-2</v>
      </c>
      <c r="D24" s="16">
        <v>-2E-3</v>
      </c>
      <c r="E24" s="16">
        <v>4.9000000000000002E-2</v>
      </c>
      <c r="F24" s="16">
        <v>8.0000000000000002E-3</v>
      </c>
      <c r="G24" s="16">
        <v>-2E-3</v>
      </c>
      <c r="H24" s="16">
        <v>-1.7000000000000001E-2</v>
      </c>
      <c r="I24" s="16">
        <v>-0.127</v>
      </c>
      <c r="J24" s="16">
        <v>2E-3</v>
      </c>
      <c r="K24" s="16">
        <v>-2E-3</v>
      </c>
      <c r="L24" s="16">
        <v>1.2E-2</v>
      </c>
      <c r="M24" s="16">
        <v>4.0000000000000001E-3</v>
      </c>
      <c r="N24" s="16">
        <v>4.0000000000000001E-3</v>
      </c>
    </row>
    <row r="25" spans="1:14" x14ac:dyDescent="0.25">
      <c r="A25" s="14">
        <v>2023</v>
      </c>
      <c r="B25" s="14" t="s">
        <v>31</v>
      </c>
      <c r="C25" s="16">
        <v>2.7E-2</v>
      </c>
      <c r="D25" s="16">
        <v>8.0000000000000002E-3</v>
      </c>
      <c r="E25" s="16">
        <v>2.3E-2</v>
      </c>
      <c r="F25" s="16">
        <v>6.0000000000000001E-3</v>
      </c>
      <c r="G25" s="16">
        <v>-7.0000000000000001E-3</v>
      </c>
      <c r="H25" s="16">
        <v>2E-3</v>
      </c>
      <c r="I25" s="16">
        <v>-3.7999999999999999E-2</v>
      </c>
      <c r="J25" s="16">
        <v>1E-3</v>
      </c>
      <c r="K25" s="16">
        <v>-6.0000000000000001E-3</v>
      </c>
      <c r="L25" s="16">
        <v>1.6E-2</v>
      </c>
      <c r="M25" s="16">
        <v>2E-3</v>
      </c>
      <c r="N25" s="16">
        <v>5.0000000000000001E-3</v>
      </c>
    </row>
    <row r="26" spans="1:14" x14ac:dyDescent="0.25">
      <c r="A26" s="14">
        <v>2023</v>
      </c>
      <c r="B26" s="14" t="s">
        <v>35</v>
      </c>
      <c r="C26" s="16">
        <v>3.0000000000000001E-3</v>
      </c>
      <c r="D26" s="16">
        <v>-1.4E-2</v>
      </c>
      <c r="E26" s="16">
        <v>-9.9000000000000005E-2</v>
      </c>
      <c r="F26" s="16">
        <v>1.4999999999999999E-2</v>
      </c>
      <c r="G26" s="16">
        <v>-4.2000000000000003E-2</v>
      </c>
      <c r="H26" s="16">
        <v>7.0999999999999994E-2</v>
      </c>
      <c r="I26" s="16">
        <v>-8.0000000000000002E-3</v>
      </c>
      <c r="J26" s="16">
        <v>1E-3</v>
      </c>
      <c r="K26" s="16">
        <v>-8.9999999999999993E-3</v>
      </c>
      <c r="L26" s="16">
        <v>6.0000000000000001E-3</v>
      </c>
      <c r="M26" s="16">
        <v>5.0000000000000001E-3</v>
      </c>
      <c r="N26" s="16">
        <v>8.9999999999999993E-3</v>
      </c>
    </row>
    <row r="27" spans="1:14" x14ac:dyDescent="0.25">
      <c r="A27" s="14">
        <v>2023</v>
      </c>
      <c r="B27" s="14" t="s">
        <v>36</v>
      </c>
      <c r="C27" s="16">
        <v>0</v>
      </c>
      <c r="D27" s="16">
        <v>0</v>
      </c>
      <c r="E27" s="16">
        <v>0</v>
      </c>
      <c r="F27" s="16">
        <v>0</v>
      </c>
      <c r="G27" s="16">
        <v>-1E-3</v>
      </c>
      <c r="H27" s="16">
        <v>0</v>
      </c>
      <c r="I27" s="16">
        <v>1E-3</v>
      </c>
      <c r="J27" s="16">
        <v>1E-3</v>
      </c>
      <c r="K27" s="16">
        <v>0</v>
      </c>
      <c r="L27" s="16">
        <v>0</v>
      </c>
      <c r="M27" s="16">
        <v>0</v>
      </c>
      <c r="N27" s="16">
        <v>0</v>
      </c>
    </row>
    <row r="28" spans="1:14" x14ac:dyDescent="0.25">
      <c r="A28" s="14">
        <v>2023</v>
      </c>
      <c r="B28" s="14" t="s">
        <v>37</v>
      </c>
      <c r="C28" s="16">
        <v>-3.0000000000000001E-3</v>
      </c>
      <c r="D28" s="16">
        <v>8.0000000000000002E-3</v>
      </c>
      <c r="E28" s="16">
        <v>-3.2000000000000001E-2</v>
      </c>
      <c r="F28" s="16">
        <v>6.0000000000000001E-3</v>
      </c>
      <c r="G28" s="16">
        <v>-2.4E-2</v>
      </c>
      <c r="H28" s="16">
        <v>0.04</v>
      </c>
      <c r="I28" s="16">
        <v>1.7000000000000001E-2</v>
      </c>
      <c r="J28" s="16">
        <v>1.2999999999999999E-2</v>
      </c>
      <c r="K28" s="16">
        <v>1.0999999999999999E-2</v>
      </c>
      <c r="L28" s="16">
        <v>1.4999999999999999E-2</v>
      </c>
      <c r="M28" s="16">
        <v>3.0000000000000001E-3</v>
      </c>
      <c r="N28" s="16">
        <v>3.0000000000000001E-3</v>
      </c>
    </row>
    <row r="29" spans="1:14" x14ac:dyDescent="0.25">
      <c r="A29" s="14">
        <v>2023</v>
      </c>
      <c r="B29" s="14" t="s">
        <v>38</v>
      </c>
      <c r="C29" s="16">
        <v>-1E-3</v>
      </c>
      <c r="D29" s="16">
        <v>2.4E-2</v>
      </c>
      <c r="E29" s="16">
        <v>2.1000000000000001E-2</v>
      </c>
      <c r="F29" s="16">
        <v>6.0000000000000001E-3</v>
      </c>
      <c r="G29" s="16">
        <v>-2.8000000000000001E-2</v>
      </c>
      <c r="H29" s="16">
        <v>-2.3E-2</v>
      </c>
      <c r="I29" s="16">
        <v>3.5999999999999997E-2</v>
      </c>
      <c r="J29" s="16">
        <v>1.2999999999999999E-2</v>
      </c>
      <c r="K29" s="16">
        <v>1.2E-2</v>
      </c>
      <c r="L29" s="16">
        <v>2.4E-2</v>
      </c>
      <c r="M29" s="16">
        <v>3.0000000000000001E-3</v>
      </c>
      <c r="N29" s="16">
        <v>4.0000000000000001E-3</v>
      </c>
    </row>
    <row r="30" spans="1:14" x14ac:dyDescent="0.25">
      <c r="A30" s="14"/>
      <c r="B30" s="17" t="s">
        <v>60</v>
      </c>
      <c r="C30" s="18">
        <v>0.01</v>
      </c>
      <c r="D30" s="18">
        <v>-1E-3</v>
      </c>
      <c r="E30" s="18">
        <v>6.0000000000000001E-3</v>
      </c>
      <c r="F30" s="18">
        <v>7.0000000000000001E-3</v>
      </c>
      <c r="G30" s="18">
        <v>-1.4E-2</v>
      </c>
      <c r="H30" s="18">
        <v>1E-3</v>
      </c>
      <c r="I30" s="18">
        <v>-6.0000000000000001E-3</v>
      </c>
      <c r="J30" s="18">
        <v>5.0000000000000001E-3</v>
      </c>
      <c r="K30" s="18">
        <v>2E-3</v>
      </c>
      <c r="L30" s="18">
        <v>1.4E-2</v>
      </c>
      <c r="M30" s="18">
        <v>3.0000000000000001E-3</v>
      </c>
      <c r="N30" s="18">
        <v>5.0000000000000001E-3</v>
      </c>
    </row>
    <row r="32" spans="1:14" ht="15.75" x14ac:dyDescent="0.25">
      <c r="G32" s="13" t="s">
        <v>61</v>
      </c>
    </row>
  </sheetData>
  <conditionalFormatting sqref="C18:N2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9B0AD-9CF2-4F0F-9A0F-B53C08085524}">
  <dimension ref="A1:H74"/>
  <sheetViews>
    <sheetView topLeftCell="C60" zoomScale="113" workbookViewId="0">
      <selection activeCell="C74" sqref="C74"/>
    </sheetView>
  </sheetViews>
  <sheetFormatPr defaultRowHeight="15" x14ac:dyDescent="0.25"/>
  <cols>
    <col min="1" max="1" width="6.42578125" customWidth="1"/>
    <col min="2" max="2" width="10.28515625" bestFit="1" customWidth="1"/>
    <col min="3" max="3" width="18.85546875" bestFit="1" customWidth="1"/>
    <col min="4" max="4" width="8.28515625" bestFit="1" customWidth="1"/>
    <col min="5" max="5" width="12.85546875" bestFit="1" customWidth="1"/>
    <col min="6" max="6" width="7" bestFit="1" customWidth="1"/>
    <col min="7" max="7" width="28.42578125" bestFit="1" customWidth="1"/>
    <col min="8" max="8" width="9.85546875" bestFit="1" customWidth="1"/>
  </cols>
  <sheetData>
    <row r="1" spans="1:8" x14ac:dyDescent="0.25">
      <c r="A1" s="15" t="s">
        <v>1</v>
      </c>
      <c r="B1" s="15" t="s">
        <v>2</v>
      </c>
      <c r="C1" s="15" t="s">
        <v>15</v>
      </c>
      <c r="D1" s="15" t="s">
        <v>20</v>
      </c>
      <c r="E1" s="15" t="s">
        <v>21</v>
      </c>
      <c r="F1" s="15" t="s">
        <v>23</v>
      </c>
      <c r="G1" s="15" t="s">
        <v>24</v>
      </c>
      <c r="H1" s="15" t="s">
        <v>26</v>
      </c>
    </row>
    <row r="2" spans="1:8" x14ac:dyDescent="0.25">
      <c r="A2" s="14">
        <v>2019</v>
      </c>
      <c r="B2" s="14" t="s">
        <v>31</v>
      </c>
      <c r="C2" s="14">
        <v>137.4</v>
      </c>
      <c r="D2" s="14">
        <v>147.69999999999999</v>
      </c>
      <c r="E2" s="14">
        <v>139.5</v>
      </c>
      <c r="F2" s="14">
        <v>145.1</v>
      </c>
      <c r="G2" s="14">
        <v>123.3</v>
      </c>
      <c r="H2" s="14">
        <v>150.19999999999999</v>
      </c>
    </row>
    <row r="3" spans="1:8" x14ac:dyDescent="0.25">
      <c r="A3" s="14">
        <v>2019</v>
      </c>
      <c r="B3" s="14" t="s">
        <v>35</v>
      </c>
      <c r="C3" s="14">
        <v>137.5</v>
      </c>
      <c r="D3" s="14">
        <v>148.5</v>
      </c>
      <c r="E3" s="14">
        <v>138.4</v>
      </c>
      <c r="F3" s="14">
        <v>145.6</v>
      </c>
      <c r="G3" s="14">
        <v>123.9</v>
      </c>
      <c r="H3" s="14">
        <v>150.30000000000001</v>
      </c>
    </row>
    <row r="4" spans="1:8" x14ac:dyDescent="0.25">
      <c r="A4" s="14">
        <v>2019</v>
      </c>
      <c r="B4" s="14" t="s">
        <v>36</v>
      </c>
      <c r="C4" s="14">
        <v>138.1</v>
      </c>
      <c r="D4" s="14">
        <v>149</v>
      </c>
      <c r="E4" s="14">
        <v>139.69999999999999</v>
      </c>
      <c r="F4" s="14">
        <v>146.19999999999999</v>
      </c>
      <c r="G4" s="14">
        <v>124.6</v>
      </c>
      <c r="H4" s="14">
        <v>150.30000000000001</v>
      </c>
    </row>
    <row r="5" spans="1:8" x14ac:dyDescent="0.25">
      <c r="A5" s="14">
        <v>2019</v>
      </c>
      <c r="B5" s="14" t="s">
        <v>38</v>
      </c>
      <c r="C5" s="14">
        <v>140.9</v>
      </c>
      <c r="D5" s="14">
        <v>150.1</v>
      </c>
      <c r="E5" s="14">
        <v>140.30000000000001</v>
      </c>
      <c r="F5" s="14">
        <v>146.9</v>
      </c>
      <c r="G5" s="14">
        <v>124.9</v>
      </c>
      <c r="H5" s="14">
        <v>151.6</v>
      </c>
    </row>
    <row r="6" spans="1:8" x14ac:dyDescent="0.25">
      <c r="A6" s="14">
        <v>2019</v>
      </c>
      <c r="B6" s="14" t="s">
        <v>39</v>
      </c>
      <c r="C6" s="14">
        <v>142.69999999999999</v>
      </c>
      <c r="D6" s="14">
        <v>149.4</v>
      </c>
      <c r="E6" s="14">
        <v>141.19999999999999</v>
      </c>
      <c r="F6" s="14">
        <v>147.4</v>
      </c>
      <c r="G6" s="14">
        <v>124.6</v>
      </c>
      <c r="H6" s="14">
        <v>152.5</v>
      </c>
    </row>
    <row r="7" spans="1:8" x14ac:dyDescent="0.25">
      <c r="A7" s="14">
        <v>2019</v>
      </c>
      <c r="B7" s="14" t="s">
        <v>40</v>
      </c>
      <c r="C7" s="14">
        <v>144.69999999999999</v>
      </c>
      <c r="D7" s="14">
        <v>150.6</v>
      </c>
      <c r="E7" s="14">
        <v>139.30000000000001</v>
      </c>
      <c r="F7" s="14">
        <v>147.9</v>
      </c>
      <c r="G7" s="14">
        <v>125.6</v>
      </c>
      <c r="H7" s="14">
        <v>154</v>
      </c>
    </row>
    <row r="8" spans="1:8" x14ac:dyDescent="0.25">
      <c r="A8" s="14">
        <v>2019</v>
      </c>
      <c r="B8" s="14" t="s">
        <v>41</v>
      </c>
      <c r="C8" s="14">
        <v>145.9</v>
      </c>
      <c r="D8" s="14">
        <v>151.6</v>
      </c>
      <c r="E8" s="14">
        <v>138.5</v>
      </c>
      <c r="F8" s="14">
        <v>148.5</v>
      </c>
      <c r="G8" s="14">
        <v>125.8</v>
      </c>
      <c r="H8" s="14">
        <v>154.9</v>
      </c>
    </row>
    <row r="9" spans="1:8" x14ac:dyDescent="0.25">
      <c r="A9" s="14">
        <v>2019</v>
      </c>
      <c r="B9" s="14" t="s">
        <v>42</v>
      </c>
      <c r="C9" s="14">
        <v>147</v>
      </c>
      <c r="D9" s="14">
        <v>152.19999999999999</v>
      </c>
      <c r="E9" s="14">
        <v>139.19999999999999</v>
      </c>
      <c r="F9" s="14">
        <v>149</v>
      </c>
      <c r="G9" s="14">
        <v>126.1</v>
      </c>
      <c r="H9" s="14">
        <v>155.19999999999999</v>
      </c>
    </row>
    <row r="10" spans="1:8" x14ac:dyDescent="0.25">
      <c r="A10" s="14">
        <v>2019</v>
      </c>
      <c r="B10" s="14" t="s">
        <v>43</v>
      </c>
      <c r="C10" s="14">
        <v>149.6</v>
      </c>
      <c r="D10" s="14">
        <v>153</v>
      </c>
      <c r="E10" s="14">
        <v>140.6</v>
      </c>
      <c r="F10" s="14">
        <v>149.4</v>
      </c>
      <c r="G10" s="14">
        <v>126.3</v>
      </c>
      <c r="H10" s="14">
        <v>155.4</v>
      </c>
    </row>
    <row r="11" spans="1:8" x14ac:dyDescent="0.25">
      <c r="A11" s="14">
        <v>2019</v>
      </c>
      <c r="B11" s="14" t="s">
        <v>45</v>
      </c>
      <c r="C11" s="14">
        <v>151.9</v>
      </c>
      <c r="D11" s="14">
        <v>153.5</v>
      </c>
      <c r="E11" s="14">
        <v>142.30000000000001</v>
      </c>
      <c r="F11" s="14">
        <v>149.9</v>
      </c>
      <c r="G11" s="14">
        <v>126.6</v>
      </c>
      <c r="H11" s="14">
        <v>155.5</v>
      </c>
    </row>
    <row r="12" spans="1:8" x14ac:dyDescent="0.25">
      <c r="A12" s="14">
        <v>2019</v>
      </c>
      <c r="B12" s="14" t="s">
        <v>46</v>
      </c>
      <c r="C12" s="14">
        <v>155</v>
      </c>
      <c r="D12" s="14">
        <v>152.80000000000001</v>
      </c>
      <c r="E12" s="14">
        <v>143.69999999999999</v>
      </c>
      <c r="F12" s="14">
        <v>150.4</v>
      </c>
      <c r="G12" s="14">
        <v>129.80000000000001</v>
      </c>
      <c r="H12" s="14">
        <v>155.69999999999999</v>
      </c>
    </row>
    <row r="13" spans="1:8" x14ac:dyDescent="0.25">
      <c r="A13" s="14">
        <v>2020</v>
      </c>
      <c r="B13" s="14" t="s">
        <v>31</v>
      </c>
      <c r="C13" s="14">
        <v>153.5</v>
      </c>
      <c r="D13" s="14">
        <v>153.9</v>
      </c>
      <c r="E13" s="14">
        <v>144.6</v>
      </c>
      <c r="F13" s="14">
        <v>151.19999999999999</v>
      </c>
      <c r="G13" s="14">
        <v>130.9</v>
      </c>
      <c r="H13" s="14">
        <v>156.1</v>
      </c>
    </row>
    <row r="14" spans="1:8" x14ac:dyDescent="0.25">
      <c r="A14" s="14">
        <v>2020</v>
      </c>
      <c r="B14" s="14" t="s">
        <v>35</v>
      </c>
      <c r="C14" s="14">
        <v>150.5</v>
      </c>
      <c r="D14" s="14">
        <v>154.80000000000001</v>
      </c>
      <c r="E14" s="14">
        <v>147.19999999999999</v>
      </c>
      <c r="F14" s="14">
        <v>151.69999999999999</v>
      </c>
      <c r="G14" s="14">
        <v>130.30000000000001</v>
      </c>
      <c r="H14" s="14">
        <v>156.19999999999999</v>
      </c>
    </row>
    <row r="17" spans="1:8" x14ac:dyDescent="0.25">
      <c r="A17" s="15" t="s">
        <v>1</v>
      </c>
      <c r="B17" s="15" t="s">
        <v>2</v>
      </c>
      <c r="C17" s="15" t="s">
        <v>15</v>
      </c>
      <c r="D17" s="15" t="s">
        <v>20</v>
      </c>
      <c r="E17" s="15" t="s">
        <v>21</v>
      </c>
      <c r="F17" s="15" t="s">
        <v>23</v>
      </c>
      <c r="G17" s="15" t="s">
        <v>24</v>
      </c>
      <c r="H17" s="15" t="s">
        <v>26</v>
      </c>
    </row>
    <row r="18" spans="1:8" x14ac:dyDescent="0.25">
      <c r="A18" s="14">
        <v>2020</v>
      </c>
      <c r="B18" s="14" t="s">
        <v>36</v>
      </c>
      <c r="C18" s="14">
        <v>148.9</v>
      </c>
      <c r="D18" s="14">
        <v>154.5</v>
      </c>
      <c r="E18" s="14">
        <v>148.9</v>
      </c>
      <c r="F18" s="14">
        <v>152.30000000000001</v>
      </c>
      <c r="G18" s="14">
        <v>129.9</v>
      </c>
      <c r="H18" s="14">
        <v>156.1</v>
      </c>
    </row>
    <row r="19" spans="1:8" x14ac:dyDescent="0.25">
      <c r="A19" s="14">
        <v>2020</v>
      </c>
      <c r="B19" s="14" t="s">
        <v>37</v>
      </c>
      <c r="C19" s="14">
        <v>151.4</v>
      </c>
      <c r="D19" s="14">
        <v>155.6</v>
      </c>
      <c r="E19" s="14">
        <v>144.1</v>
      </c>
      <c r="F19" s="14">
        <v>150.69999999999999</v>
      </c>
      <c r="G19" s="14">
        <v>129.9</v>
      </c>
      <c r="H19" s="14">
        <v>156.1</v>
      </c>
    </row>
    <row r="20" spans="1:8" x14ac:dyDescent="0.25">
      <c r="A20" s="14">
        <v>2020</v>
      </c>
      <c r="B20" s="14" t="s">
        <v>38</v>
      </c>
      <c r="C20" s="14">
        <f t="shared" ref="C20:H20" si="0">AVERAGE(C19,C21)</f>
        <v>152.69999999999999</v>
      </c>
      <c r="D20" s="14">
        <f t="shared" si="0"/>
        <v>155.14999999999998</v>
      </c>
      <c r="E20" s="14">
        <f t="shared" si="0"/>
        <v>143</v>
      </c>
      <c r="F20" s="14">
        <f t="shared" si="0"/>
        <v>152.55000000000001</v>
      </c>
      <c r="G20" s="14">
        <f t="shared" si="0"/>
        <v>132.44999999999999</v>
      </c>
      <c r="H20" s="14">
        <f t="shared" si="0"/>
        <v>156.25</v>
      </c>
    </row>
    <row r="21" spans="1:8" x14ac:dyDescent="0.25">
      <c r="A21" s="14">
        <v>2020</v>
      </c>
      <c r="B21" s="14" t="s">
        <v>39</v>
      </c>
      <c r="C21" s="14">
        <v>154</v>
      </c>
      <c r="D21" s="14">
        <v>154.69999999999999</v>
      </c>
      <c r="E21" s="14">
        <v>141.9</v>
      </c>
      <c r="F21" s="14">
        <v>154.4</v>
      </c>
      <c r="G21" s="14">
        <v>135</v>
      </c>
      <c r="H21" s="14">
        <v>156.4</v>
      </c>
    </row>
    <row r="22" spans="1:8" x14ac:dyDescent="0.25">
      <c r="A22" s="14">
        <v>2020</v>
      </c>
      <c r="B22" s="14" t="s">
        <v>40</v>
      </c>
      <c r="C22" s="14">
        <v>154</v>
      </c>
      <c r="D22" s="14">
        <v>154.69999999999999</v>
      </c>
      <c r="E22" s="14">
        <v>141.9</v>
      </c>
      <c r="F22" s="14">
        <v>154.4</v>
      </c>
      <c r="G22" s="14">
        <v>135</v>
      </c>
      <c r="H22" s="14">
        <v>156.4</v>
      </c>
    </row>
    <row r="23" spans="1:8" x14ac:dyDescent="0.25">
      <c r="A23" s="14">
        <v>2020</v>
      </c>
      <c r="B23" s="14" t="s">
        <v>41</v>
      </c>
      <c r="C23" s="14">
        <v>157</v>
      </c>
      <c r="D23" s="14">
        <v>155.5</v>
      </c>
      <c r="E23" s="14">
        <v>143</v>
      </c>
      <c r="F23" s="14">
        <v>155</v>
      </c>
      <c r="G23" s="14">
        <v>138.5</v>
      </c>
      <c r="H23" s="14">
        <v>158.5</v>
      </c>
    </row>
    <row r="24" spans="1:8" x14ac:dyDescent="0.25">
      <c r="A24" s="14">
        <v>2020</v>
      </c>
      <c r="B24" s="14" t="s">
        <v>42</v>
      </c>
      <c r="C24" s="14">
        <v>158</v>
      </c>
      <c r="D24" s="14">
        <v>156.30000000000001</v>
      </c>
      <c r="E24" s="14">
        <v>142.9</v>
      </c>
      <c r="F24" s="14">
        <v>155.6</v>
      </c>
      <c r="G24" s="14">
        <v>139.6</v>
      </c>
      <c r="H24" s="14">
        <v>157.5</v>
      </c>
    </row>
    <row r="25" spans="1:8" x14ac:dyDescent="0.25">
      <c r="A25" s="14">
        <v>2020</v>
      </c>
      <c r="B25" s="14" t="s">
        <v>43</v>
      </c>
      <c r="C25" s="14">
        <v>161.4</v>
      </c>
      <c r="D25" s="14">
        <v>156.5</v>
      </c>
      <c r="E25" s="14">
        <v>143.1</v>
      </c>
      <c r="F25" s="14">
        <v>156.30000000000001</v>
      </c>
      <c r="G25" s="14">
        <v>140.6</v>
      </c>
      <c r="H25" s="14">
        <v>158.5</v>
      </c>
    </row>
    <row r="26" spans="1:8" x14ac:dyDescent="0.25">
      <c r="A26" s="14">
        <v>2020</v>
      </c>
      <c r="B26" s="14" t="s">
        <v>45</v>
      </c>
      <c r="C26" s="14">
        <v>164.7</v>
      </c>
      <c r="D26" s="14">
        <v>158</v>
      </c>
      <c r="E26" s="14">
        <v>143.6</v>
      </c>
      <c r="F26" s="14">
        <v>157.19999999999999</v>
      </c>
      <c r="G26" s="14">
        <v>140.4</v>
      </c>
      <c r="H26" s="14">
        <v>158.6</v>
      </c>
    </row>
    <row r="27" spans="1:8" x14ac:dyDescent="0.25">
      <c r="A27" s="14">
        <v>2020</v>
      </c>
      <c r="B27" s="14" t="s">
        <v>46</v>
      </c>
      <c r="C27" s="14">
        <v>165.4</v>
      </c>
      <c r="D27" s="14">
        <v>158.4</v>
      </c>
      <c r="E27" s="14">
        <v>144.6</v>
      </c>
      <c r="F27" s="14">
        <v>158.30000000000001</v>
      </c>
      <c r="G27" s="14">
        <v>140.69999999999999</v>
      </c>
      <c r="H27" s="14">
        <v>159.4</v>
      </c>
    </row>
    <row r="32" spans="1:8" ht="15.75" x14ac:dyDescent="0.25">
      <c r="A32" s="21" t="s">
        <v>1</v>
      </c>
      <c r="B32" s="21" t="s">
        <v>2</v>
      </c>
      <c r="C32" s="21" t="s">
        <v>15</v>
      </c>
      <c r="D32" s="21" t="s">
        <v>20</v>
      </c>
      <c r="E32" s="21" t="s">
        <v>21</v>
      </c>
      <c r="F32" s="21" t="s">
        <v>23</v>
      </c>
      <c r="G32" s="21" t="s">
        <v>24</v>
      </c>
      <c r="H32" s="21" t="s">
        <v>26</v>
      </c>
    </row>
    <row r="33" spans="1:8" x14ac:dyDescent="0.25">
      <c r="A33" s="14">
        <v>2019</v>
      </c>
      <c r="B33" s="14" t="s">
        <v>35</v>
      </c>
      <c r="C33" s="16">
        <f t="shared" ref="C33:H33" si="1">(C3-C2)/C2</f>
        <v>7.2780203784566459E-4</v>
      </c>
      <c r="D33" s="16">
        <f t="shared" si="1"/>
        <v>5.4163845633040716E-3</v>
      </c>
      <c r="E33" s="16">
        <f t="shared" si="1"/>
        <v>-7.8853046594981671E-3</v>
      </c>
      <c r="F33" s="16">
        <f t="shared" si="1"/>
        <v>3.4458993797381117E-3</v>
      </c>
      <c r="G33" s="16">
        <f t="shared" si="1"/>
        <v>4.86618004866187E-3</v>
      </c>
      <c r="H33" s="16">
        <f t="shared" si="1"/>
        <v>6.6577896138497164E-4</v>
      </c>
    </row>
    <row r="34" spans="1:8" x14ac:dyDescent="0.25">
      <c r="A34" s="14">
        <v>2019</v>
      </c>
      <c r="B34" s="14" t="s">
        <v>36</v>
      </c>
      <c r="C34" s="16">
        <f t="shared" ref="C34:H44" si="2">(C4-C3)/C3</f>
        <v>4.3636363636363222E-3</v>
      </c>
      <c r="D34" s="16">
        <f t="shared" si="2"/>
        <v>3.3670033670033669E-3</v>
      </c>
      <c r="E34" s="16">
        <f t="shared" si="2"/>
        <v>9.3930635838149045E-3</v>
      </c>
      <c r="F34" s="16">
        <f t="shared" si="2"/>
        <v>4.120879120879082E-3</v>
      </c>
      <c r="G34" s="16">
        <f t="shared" si="2"/>
        <v>5.6497175141242018E-3</v>
      </c>
      <c r="H34" s="16">
        <f t="shared" si="2"/>
        <v>0</v>
      </c>
    </row>
    <row r="35" spans="1:8" x14ac:dyDescent="0.25">
      <c r="A35" s="14">
        <v>2019</v>
      </c>
      <c r="B35" s="14" t="s">
        <v>38</v>
      </c>
      <c r="C35" s="16">
        <f t="shared" si="2"/>
        <v>2.0275162925416448E-2</v>
      </c>
      <c r="D35" s="16">
        <f t="shared" si="2"/>
        <v>7.3825503355704316E-3</v>
      </c>
      <c r="E35" s="16">
        <f t="shared" si="2"/>
        <v>4.2949176807446157E-3</v>
      </c>
      <c r="F35" s="16">
        <f t="shared" si="2"/>
        <v>4.7879616963065466E-3</v>
      </c>
      <c r="G35" s="16">
        <f t="shared" si="2"/>
        <v>2.4077046548957575E-3</v>
      </c>
      <c r="H35" s="16">
        <f t="shared" si="2"/>
        <v>8.6493679308049416E-3</v>
      </c>
    </row>
    <row r="36" spans="1:8" x14ac:dyDescent="0.25">
      <c r="A36" s="14">
        <v>2019</v>
      </c>
      <c r="B36" s="14" t="s">
        <v>39</v>
      </c>
      <c r="C36" s="16">
        <f t="shared" si="2"/>
        <v>1.2775017743080078E-2</v>
      </c>
      <c r="D36" s="16">
        <f t="shared" si="2"/>
        <v>-4.663557628247759E-3</v>
      </c>
      <c r="E36" s="16">
        <f t="shared" si="2"/>
        <v>6.4148253741979841E-3</v>
      </c>
      <c r="F36" s="16">
        <f t="shared" si="2"/>
        <v>3.4036759700476512E-3</v>
      </c>
      <c r="G36" s="16">
        <f t="shared" si="2"/>
        <v>-2.4019215372298747E-3</v>
      </c>
      <c r="H36" s="16">
        <f t="shared" si="2"/>
        <v>5.9366754617414625E-3</v>
      </c>
    </row>
    <row r="37" spans="1:8" x14ac:dyDescent="0.25">
      <c r="A37" s="14">
        <v>2019</v>
      </c>
      <c r="B37" s="14" t="s">
        <v>40</v>
      </c>
      <c r="C37" s="16">
        <f t="shared" si="2"/>
        <v>1.4015416958654521E-2</v>
      </c>
      <c r="D37" s="16">
        <f t="shared" si="2"/>
        <v>8.0321285140561478E-3</v>
      </c>
      <c r="E37" s="16">
        <f t="shared" si="2"/>
        <v>-1.3456090651557914E-2</v>
      </c>
      <c r="F37" s="16">
        <f t="shared" si="2"/>
        <v>3.3921302578018993E-3</v>
      </c>
      <c r="G37" s="16">
        <f t="shared" si="2"/>
        <v>8.0256821829855548E-3</v>
      </c>
      <c r="H37" s="16">
        <f t="shared" si="2"/>
        <v>9.8360655737704927E-3</v>
      </c>
    </row>
    <row r="38" spans="1:8" x14ac:dyDescent="0.25">
      <c r="A38" s="14">
        <v>2019</v>
      </c>
      <c r="B38" s="14" t="s">
        <v>41</v>
      </c>
      <c r="C38" s="16">
        <f t="shared" si="2"/>
        <v>8.2930200414652183E-3</v>
      </c>
      <c r="D38" s="16">
        <f t="shared" si="2"/>
        <v>6.6401062416998674E-3</v>
      </c>
      <c r="E38" s="16">
        <f t="shared" si="2"/>
        <v>-5.7430007178751706E-3</v>
      </c>
      <c r="F38" s="16">
        <f t="shared" si="2"/>
        <v>4.0567951318458036E-3</v>
      </c>
      <c r="G38" s="16">
        <f t="shared" si="2"/>
        <v>1.5923566878981118E-3</v>
      </c>
      <c r="H38" s="16">
        <f t="shared" si="2"/>
        <v>5.8441558441558808E-3</v>
      </c>
    </row>
    <row r="39" spans="1:8" x14ac:dyDescent="0.25">
      <c r="A39" s="14">
        <v>2019</v>
      </c>
      <c r="B39" s="14" t="s">
        <v>42</v>
      </c>
      <c r="C39" s="16">
        <f t="shared" si="2"/>
        <v>7.5394105551747376E-3</v>
      </c>
      <c r="D39" s="16">
        <f t="shared" si="2"/>
        <v>3.9577836411609129E-3</v>
      </c>
      <c r="E39" s="16">
        <f t="shared" si="2"/>
        <v>5.0541516245486548E-3</v>
      </c>
      <c r="F39" s="16">
        <f t="shared" si="2"/>
        <v>3.3670033670033669E-3</v>
      </c>
      <c r="G39" s="16">
        <f t="shared" si="2"/>
        <v>2.3847376788553032E-3</v>
      </c>
      <c r="H39" s="16">
        <f t="shared" si="2"/>
        <v>1.9367333763717427E-3</v>
      </c>
    </row>
    <row r="40" spans="1:8" x14ac:dyDescent="0.25">
      <c r="A40" s="14">
        <v>2019</v>
      </c>
      <c r="B40" s="14" t="s">
        <v>43</v>
      </c>
      <c r="C40" s="16">
        <f t="shared" si="2"/>
        <v>1.7687074829931933E-2</v>
      </c>
      <c r="D40" s="16">
        <f t="shared" si="2"/>
        <v>5.2562417871222823E-3</v>
      </c>
      <c r="E40" s="16">
        <f t="shared" si="2"/>
        <v>1.0057471264367858E-2</v>
      </c>
      <c r="F40" s="16">
        <f t="shared" si="2"/>
        <v>2.6845637583892998E-3</v>
      </c>
      <c r="G40" s="16">
        <f t="shared" si="2"/>
        <v>1.5860428231562478E-3</v>
      </c>
      <c r="H40" s="16">
        <f t="shared" si="2"/>
        <v>1.2886597938145429E-3</v>
      </c>
    </row>
    <row r="41" spans="1:8" x14ac:dyDescent="0.25">
      <c r="A41" s="14">
        <v>2019</v>
      </c>
      <c r="B41" s="14" t="s">
        <v>45</v>
      </c>
      <c r="C41" s="16">
        <f t="shared" si="2"/>
        <v>1.5374331550802216E-2</v>
      </c>
      <c r="D41" s="16">
        <f t="shared" si="2"/>
        <v>3.2679738562091504E-3</v>
      </c>
      <c r="E41" s="16">
        <f t="shared" si="2"/>
        <v>1.2091038406828002E-2</v>
      </c>
      <c r="F41" s="16">
        <f t="shared" si="2"/>
        <v>3.3467202141900937E-3</v>
      </c>
      <c r="G41" s="16">
        <f t="shared" si="2"/>
        <v>2.3752969121139918E-3</v>
      </c>
      <c r="H41" s="16">
        <f t="shared" si="2"/>
        <v>6.4350064350060694E-4</v>
      </c>
    </row>
    <row r="42" spans="1:8" x14ac:dyDescent="0.25">
      <c r="A42" s="14">
        <v>2019</v>
      </c>
      <c r="B42" s="14" t="s">
        <v>46</v>
      </c>
      <c r="C42" s="16">
        <f t="shared" si="2"/>
        <v>2.0408163265306083E-2</v>
      </c>
      <c r="D42" s="16">
        <f t="shared" si="2"/>
        <v>-4.5602605863191443E-3</v>
      </c>
      <c r="E42" s="16">
        <f t="shared" si="2"/>
        <v>9.8383696416020888E-3</v>
      </c>
      <c r="F42" s="16">
        <f t="shared" si="2"/>
        <v>3.3355570380253501E-3</v>
      </c>
      <c r="G42" s="16">
        <f t="shared" si="2"/>
        <v>2.5276461295418776E-2</v>
      </c>
      <c r="H42" s="16">
        <f t="shared" si="2"/>
        <v>1.2861736334404414E-3</v>
      </c>
    </row>
    <row r="43" spans="1:8" x14ac:dyDescent="0.25">
      <c r="A43" s="14">
        <v>2020</v>
      </c>
      <c r="B43" s="14" t="s">
        <v>31</v>
      </c>
      <c r="C43" s="16">
        <f t="shared" si="2"/>
        <v>-9.6774193548387101E-3</v>
      </c>
      <c r="D43" s="16">
        <f t="shared" si="2"/>
        <v>7.1989528795811143E-3</v>
      </c>
      <c r="E43" s="16">
        <f t="shared" si="2"/>
        <v>6.2630480167015015E-3</v>
      </c>
      <c r="F43" s="16">
        <f t="shared" si="2"/>
        <v>5.319148936170099E-3</v>
      </c>
      <c r="G43" s="16">
        <f t="shared" si="2"/>
        <v>8.4745762711863955E-3</v>
      </c>
      <c r="H43" s="16">
        <f t="shared" si="2"/>
        <v>2.5690430314708138E-3</v>
      </c>
    </row>
    <row r="44" spans="1:8" x14ac:dyDescent="0.25">
      <c r="A44" s="14">
        <v>2020</v>
      </c>
      <c r="B44" s="14" t="s">
        <v>35</v>
      </c>
      <c r="C44" s="16">
        <f t="shared" si="2"/>
        <v>-1.9543973941368076E-2</v>
      </c>
      <c r="D44" s="16">
        <f t="shared" si="2"/>
        <v>5.847953216374306E-3</v>
      </c>
      <c r="E44" s="16">
        <f t="shared" si="2"/>
        <v>1.7980636237897609E-2</v>
      </c>
      <c r="F44" s="16">
        <f t="shared" si="2"/>
        <v>3.3068783068783071E-3</v>
      </c>
      <c r="G44" s="16">
        <f t="shared" si="2"/>
        <v>-4.583651642475128E-3</v>
      </c>
      <c r="H44" s="16">
        <f t="shared" si="2"/>
        <v>6.4061499039073878E-4</v>
      </c>
    </row>
    <row r="45" spans="1:8" x14ac:dyDescent="0.25">
      <c r="A45" s="19" t="s">
        <v>65</v>
      </c>
      <c r="B45" s="19"/>
      <c r="C45" s="20">
        <f t="shared" ref="C45:H45" si="3">SUM(C33:C44)</f>
        <v>9.2237642975106435E-2</v>
      </c>
      <c r="D45" s="20">
        <f t="shared" si="3"/>
        <v>4.7143260187514753E-2</v>
      </c>
      <c r="E45" s="20">
        <f t="shared" si="3"/>
        <v>5.4303125801771962E-2</v>
      </c>
      <c r="F45" s="20">
        <f t="shared" si="3"/>
        <v>4.4567213177275612E-2</v>
      </c>
      <c r="G45" s="20">
        <f t="shared" si="3"/>
        <v>5.5653182889591202E-2</v>
      </c>
      <c r="H45" s="20">
        <f t="shared" si="3"/>
        <v>3.9296769240846637E-2</v>
      </c>
    </row>
    <row r="46" spans="1:8" x14ac:dyDescent="0.25">
      <c r="C46" t="s">
        <v>62</v>
      </c>
    </row>
    <row r="49" spans="1:8" ht="15.75" x14ac:dyDescent="0.25">
      <c r="A49" s="21" t="s">
        <v>1</v>
      </c>
      <c r="B49" s="21" t="s">
        <v>2</v>
      </c>
      <c r="C49" s="21" t="s">
        <v>15</v>
      </c>
      <c r="D49" s="21" t="s">
        <v>20</v>
      </c>
      <c r="E49" s="21" t="s">
        <v>21</v>
      </c>
      <c r="F49" s="21" t="s">
        <v>23</v>
      </c>
      <c r="G49" s="21" t="s">
        <v>24</v>
      </c>
      <c r="H49" s="21" t="s">
        <v>26</v>
      </c>
    </row>
    <row r="50" spans="1:8" x14ac:dyDescent="0.25">
      <c r="A50" s="14">
        <v>2020</v>
      </c>
      <c r="B50" s="14" t="s">
        <v>36</v>
      </c>
      <c r="C50" s="16">
        <f t="shared" ref="C50:H50" si="4">(C18-C14)/C14</f>
        <v>-1.0631229235880361E-2</v>
      </c>
      <c r="D50" s="16">
        <f t="shared" si="4"/>
        <v>-1.9379844961241043E-3</v>
      </c>
      <c r="E50" s="16">
        <f t="shared" si="4"/>
        <v>1.1548913043478378E-2</v>
      </c>
      <c r="F50" s="16">
        <f t="shared" si="4"/>
        <v>3.9551746868821541E-3</v>
      </c>
      <c r="G50" s="16">
        <f t="shared" si="4"/>
        <v>-3.0698388334612866E-3</v>
      </c>
      <c r="H50" s="16">
        <f t="shared" si="4"/>
        <v>-6.4020486555694189E-4</v>
      </c>
    </row>
    <row r="51" spans="1:8" x14ac:dyDescent="0.25">
      <c r="A51" s="14">
        <v>2020</v>
      </c>
      <c r="B51" s="14" t="s">
        <v>37</v>
      </c>
      <c r="C51" s="16">
        <f t="shared" ref="C51:H51" si="5">(C19-C18)/C18</f>
        <v>1.6789791806581598E-2</v>
      </c>
      <c r="D51" s="16">
        <f t="shared" si="5"/>
        <v>7.1197411003235877E-3</v>
      </c>
      <c r="E51" s="16">
        <f t="shared" si="5"/>
        <v>-3.2236400268636743E-2</v>
      </c>
      <c r="F51" s="16">
        <f t="shared" si="5"/>
        <v>-1.0505581089954186E-2</v>
      </c>
      <c r="G51" s="16">
        <f t="shared" si="5"/>
        <v>0</v>
      </c>
      <c r="H51" s="16">
        <f t="shared" si="5"/>
        <v>0</v>
      </c>
    </row>
    <row r="52" spans="1:8" x14ac:dyDescent="0.25">
      <c r="A52" s="14">
        <v>2020</v>
      </c>
      <c r="B52" s="14" t="s">
        <v>38</v>
      </c>
      <c r="C52" s="16">
        <f t="shared" ref="C52:H59" si="6">(C20-C19)/C19</f>
        <v>8.5865257595771662E-3</v>
      </c>
      <c r="D52" s="16">
        <f t="shared" si="6"/>
        <v>-2.8920308483291585E-3</v>
      </c>
      <c r="E52" s="16">
        <f t="shared" si="6"/>
        <v>-7.6335877862595027E-3</v>
      </c>
      <c r="F52" s="16">
        <f t="shared" si="6"/>
        <v>1.2276045122760603E-2</v>
      </c>
      <c r="G52" s="16">
        <f t="shared" si="6"/>
        <v>1.9630484988452525E-2</v>
      </c>
      <c r="H52" s="16">
        <f t="shared" si="6"/>
        <v>9.6092248558619919E-4</v>
      </c>
    </row>
    <row r="53" spans="1:8" x14ac:dyDescent="0.25">
      <c r="A53" s="14">
        <v>2020</v>
      </c>
      <c r="B53" s="14" t="s">
        <v>39</v>
      </c>
      <c r="C53" s="16">
        <f t="shared" si="6"/>
        <v>8.5134250163720459E-3</v>
      </c>
      <c r="D53" s="16">
        <f t="shared" si="6"/>
        <v>-2.9004189494037298E-3</v>
      </c>
      <c r="E53" s="16">
        <f t="shared" si="6"/>
        <v>-7.6923076923076528E-3</v>
      </c>
      <c r="F53" s="16">
        <f t="shared" si="6"/>
        <v>1.2127171419206779E-2</v>
      </c>
      <c r="G53" s="16">
        <f t="shared" si="6"/>
        <v>1.9252548131370416E-2</v>
      </c>
      <c r="H53" s="16">
        <f t="shared" si="6"/>
        <v>9.6000000000003635E-4</v>
      </c>
    </row>
    <row r="54" spans="1:8" x14ac:dyDescent="0.25">
      <c r="A54" s="14">
        <v>2020</v>
      </c>
      <c r="B54" s="14" t="s">
        <v>40</v>
      </c>
      <c r="C54" s="16">
        <f t="shared" si="6"/>
        <v>0</v>
      </c>
      <c r="D54" s="16">
        <f t="shared" si="6"/>
        <v>0</v>
      </c>
      <c r="E54" s="16">
        <f t="shared" si="6"/>
        <v>0</v>
      </c>
      <c r="F54" s="16">
        <f t="shared" si="6"/>
        <v>0</v>
      </c>
      <c r="G54" s="16">
        <f t="shared" si="6"/>
        <v>0</v>
      </c>
      <c r="H54" s="16">
        <f t="shared" si="6"/>
        <v>0</v>
      </c>
    </row>
    <row r="55" spans="1:8" x14ac:dyDescent="0.25">
      <c r="A55" s="14">
        <v>2020</v>
      </c>
      <c r="B55" s="14" t="s">
        <v>41</v>
      </c>
      <c r="C55" s="16">
        <f t="shared" si="6"/>
        <v>1.948051948051948E-2</v>
      </c>
      <c r="D55" s="16">
        <f t="shared" si="6"/>
        <v>5.1712992889464213E-3</v>
      </c>
      <c r="E55" s="16">
        <f t="shared" si="6"/>
        <v>7.751937984496084E-3</v>
      </c>
      <c r="F55" s="16">
        <f t="shared" si="6"/>
        <v>3.8860103626942636E-3</v>
      </c>
      <c r="G55" s="16">
        <f t="shared" si="6"/>
        <v>2.5925925925925925E-2</v>
      </c>
      <c r="H55" s="16">
        <f t="shared" si="6"/>
        <v>1.3427109974424516E-2</v>
      </c>
    </row>
    <row r="56" spans="1:8" x14ac:dyDescent="0.25">
      <c r="A56" s="14">
        <v>2020</v>
      </c>
      <c r="B56" s="14" t="s">
        <v>42</v>
      </c>
      <c r="C56" s="16">
        <f t="shared" si="6"/>
        <v>6.369426751592357E-3</v>
      </c>
      <c r="D56" s="16">
        <f t="shared" si="6"/>
        <v>5.1446945337621309E-3</v>
      </c>
      <c r="E56" s="16">
        <f t="shared" si="6"/>
        <v>-6.9930069930065951E-4</v>
      </c>
      <c r="F56" s="16">
        <f t="shared" si="6"/>
        <v>3.870967741935447E-3</v>
      </c>
      <c r="G56" s="16">
        <f t="shared" si="6"/>
        <v>7.9422382671479729E-3</v>
      </c>
      <c r="H56" s="16">
        <f t="shared" si="6"/>
        <v>-6.3091482649842269E-3</v>
      </c>
    </row>
    <row r="57" spans="1:8" x14ac:dyDescent="0.25">
      <c r="A57" s="14">
        <v>2020</v>
      </c>
      <c r="B57" s="14" t="s">
        <v>43</v>
      </c>
      <c r="C57" s="16">
        <f t="shared" si="6"/>
        <v>2.1518987341772187E-2</v>
      </c>
      <c r="D57" s="16">
        <f t="shared" si="6"/>
        <v>1.2795905310299975E-3</v>
      </c>
      <c r="E57" s="16">
        <f t="shared" si="6"/>
        <v>1.3995801259621317E-3</v>
      </c>
      <c r="F57" s="16">
        <f t="shared" si="6"/>
        <v>4.4987146529564077E-3</v>
      </c>
      <c r="G57" s="16">
        <f t="shared" si="6"/>
        <v>7.1633237822349575E-3</v>
      </c>
      <c r="H57" s="16">
        <f t="shared" si="6"/>
        <v>6.3492063492063492E-3</v>
      </c>
    </row>
    <row r="58" spans="1:8" x14ac:dyDescent="0.25">
      <c r="A58" s="14">
        <v>2020</v>
      </c>
      <c r="B58" s="14" t="s">
        <v>45</v>
      </c>
      <c r="C58" s="16">
        <f t="shared" si="6"/>
        <v>2.0446096654274985E-2</v>
      </c>
      <c r="D58" s="16">
        <f t="shared" si="6"/>
        <v>9.5846645367412137E-3</v>
      </c>
      <c r="E58" s="16">
        <f t="shared" si="6"/>
        <v>3.4940600978336828E-3</v>
      </c>
      <c r="F58" s="16">
        <f t="shared" si="6"/>
        <v>5.7581573896351712E-3</v>
      </c>
      <c r="G58" s="16">
        <f t="shared" si="6"/>
        <v>-1.4224751066855522E-3</v>
      </c>
      <c r="H58" s="16">
        <f t="shared" si="6"/>
        <v>6.3091482649838687E-4</v>
      </c>
    </row>
    <row r="59" spans="1:8" x14ac:dyDescent="0.25">
      <c r="A59" s="14">
        <v>2020</v>
      </c>
      <c r="B59" s="14" t="s">
        <v>46</v>
      </c>
      <c r="C59" s="16">
        <f t="shared" si="6"/>
        <v>4.2501517911355015E-3</v>
      </c>
      <c r="D59" s="16">
        <f t="shared" si="6"/>
        <v>2.5316455696202892E-3</v>
      </c>
      <c r="E59" s="16">
        <f t="shared" si="6"/>
        <v>6.9637883008356553E-3</v>
      </c>
      <c r="F59" s="16">
        <f t="shared" si="6"/>
        <v>6.9974554707380584E-3</v>
      </c>
      <c r="G59" s="16">
        <f t="shared" si="6"/>
        <v>2.1367521367520151E-3</v>
      </c>
      <c r="H59" s="16">
        <f t="shared" si="6"/>
        <v>5.0441361916772473E-3</v>
      </c>
    </row>
    <row r="60" spans="1:8" x14ac:dyDescent="0.25">
      <c r="A60" s="19" t="s">
        <v>63</v>
      </c>
      <c r="B60" s="19"/>
      <c r="C60" s="20">
        <f t="shared" ref="C60:H60" si="7">SUM(C50:C59)</f>
        <v>9.5323695365944955E-2</v>
      </c>
      <c r="D60" s="20">
        <f t="shared" si="7"/>
        <v>2.3101201266566646E-2</v>
      </c>
      <c r="E60" s="20">
        <f t="shared" si="7"/>
        <v>-1.7103316893898629E-2</v>
      </c>
      <c r="F60" s="20">
        <f t="shared" si="7"/>
        <v>4.2864115756854698E-2</v>
      </c>
      <c r="G60" s="20">
        <f t="shared" si="7"/>
        <v>7.7558959291736965E-2</v>
      </c>
      <c r="H60" s="20">
        <f t="shared" si="7"/>
        <v>2.0422936696851565E-2</v>
      </c>
    </row>
    <row r="64" spans="1:8" ht="15.75" x14ac:dyDescent="0.25">
      <c r="C64" s="40" t="s">
        <v>66</v>
      </c>
      <c r="D64" s="40"/>
      <c r="E64" s="40" t="s">
        <v>64</v>
      </c>
      <c r="F64" s="40"/>
      <c r="G64" s="22" t="s">
        <v>63</v>
      </c>
    </row>
    <row r="65" spans="3:7" x14ac:dyDescent="0.25">
      <c r="C65" s="37" t="s">
        <v>15</v>
      </c>
      <c r="D65" s="37"/>
      <c r="E65" s="41">
        <v>9.1999999999999998E-2</v>
      </c>
      <c r="F65" s="41"/>
      <c r="G65" s="16">
        <v>9.5000000000000001E-2</v>
      </c>
    </row>
    <row r="66" spans="3:7" x14ac:dyDescent="0.25">
      <c r="C66" s="37" t="s">
        <v>20</v>
      </c>
      <c r="D66" s="37"/>
      <c r="E66" s="41">
        <v>4.7E-2</v>
      </c>
      <c r="F66" s="41"/>
      <c r="G66" s="16">
        <v>2.3E-2</v>
      </c>
    </row>
    <row r="67" spans="3:7" x14ac:dyDescent="0.25">
      <c r="C67" s="37" t="s">
        <v>21</v>
      </c>
      <c r="D67" s="37"/>
      <c r="E67" s="41">
        <v>5.3999999999999999E-2</v>
      </c>
      <c r="F67" s="41"/>
      <c r="G67" s="16">
        <v>-1.7000000000000001E-2</v>
      </c>
    </row>
    <row r="68" spans="3:7" x14ac:dyDescent="0.25">
      <c r="C68" s="37" t="s">
        <v>23</v>
      </c>
      <c r="D68" s="37"/>
      <c r="E68" s="41">
        <v>4.4999999999999998E-2</v>
      </c>
      <c r="F68" s="41"/>
      <c r="G68" s="16">
        <v>4.2999999999999997E-2</v>
      </c>
    </row>
    <row r="69" spans="3:7" x14ac:dyDescent="0.25">
      <c r="C69" s="37" t="s">
        <v>24</v>
      </c>
      <c r="D69" s="37"/>
      <c r="E69" s="41">
        <v>5.6000000000000001E-2</v>
      </c>
      <c r="F69" s="41"/>
      <c r="G69" s="16">
        <v>7.8E-2</v>
      </c>
    </row>
    <row r="70" spans="3:7" x14ac:dyDescent="0.25">
      <c r="C70" s="38" t="s">
        <v>26</v>
      </c>
      <c r="D70" s="39"/>
      <c r="E70" s="42">
        <v>3.9E-2</v>
      </c>
      <c r="F70" s="43"/>
      <c r="G70" s="16">
        <v>0.02</v>
      </c>
    </row>
    <row r="74" spans="3:7" ht="15.75" x14ac:dyDescent="0.25">
      <c r="C74" s="13" t="s">
        <v>67</v>
      </c>
    </row>
  </sheetData>
  <mergeCells count="14">
    <mergeCell ref="C69:D69"/>
    <mergeCell ref="C70:D70"/>
    <mergeCell ref="E64:F64"/>
    <mergeCell ref="E66:F66"/>
    <mergeCell ref="E68:F68"/>
    <mergeCell ref="E65:F65"/>
    <mergeCell ref="E67:F67"/>
    <mergeCell ref="E70:F70"/>
    <mergeCell ref="E69:F69"/>
    <mergeCell ref="C64:D64"/>
    <mergeCell ref="C65:D65"/>
    <mergeCell ref="C66:D66"/>
    <mergeCell ref="C67:D67"/>
    <mergeCell ref="C68:D68"/>
  </mergeCells>
  <phoneticPr fontId="18" type="noConversion"/>
  <conditionalFormatting sqref="C33:H44">
    <cfRule type="colorScale" priority="3">
      <colorScale>
        <cfvo type="min"/>
        <cfvo type="percentile" val="50"/>
        <cfvo type="max"/>
        <color rgb="FF63BE7B"/>
        <color rgb="FFFFEB84"/>
        <color rgb="FFF8696B"/>
      </colorScale>
    </cfRule>
  </conditionalFormatting>
  <conditionalFormatting sqref="C50:H59">
    <cfRule type="colorScale" priority="2">
      <colorScale>
        <cfvo type="min"/>
        <cfvo type="percentile" val="50"/>
        <cfvo type="max"/>
        <color rgb="FF63BE7B"/>
        <color rgb="FFFFEB84"/>
        <color rgb="FFF8696B"/>
      </colorScale>
    </cfRule>
  </conditionalFormatting>
  <conditionalFormatting sqref="E65:G70">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BC3C0-E86B-4E2F-997B-A9A1CF4C5F20}">
  <dimension ref="A1:N135"/>
  <sheetViews>
    <sheetView zoomScaleNormal="100" workbookViewId="0">
      <selection activeCell="G129" sqref="G129"/>
    </sheetView>
  </sheetViews>
  <sheetFormatPr defaultColWidth="12.85546875" defaultRowHeight="15" x14ac:dyDescent="0.25"/>
  <cols>
    <col min="1" max="1" width="5" customWidth="1"/>
    <col min="2" max="2" width="10.28515625" bestFit="1" customWidth="1"/>
    <col min="3" max="3" width="9.140625" bestFit="1" customWidth="1"/>
    <col min="4" max="4" width="18.85546875" bestFit="1" customWidth="1"/>
    <col min="6" max="6" width="6.7109375" bestFit="1" customWidth="1"/>
    <col min="7" max="7" width="28.42578125" bestFit="1" customWidth="1"/>
    <col min="9" max="9" width="28" customWidth="1"/>
    <col min="10" max="10" width="10.28515625" bestFit="1" customWidth="1"/>
  </cols>
  <sheetData>
    <row r="1" spans="1:12" x14ac:dyDescent="0.25">
      <c r="A1" s="14" t="s">
        <v>1</v>
      </c>
      <c r="B1" s="14" t="s">
        <v>2</v>
      </c>
      <c r="C1" s="14" t="s">
        <v>68</v>
      </c>
      <c r="D1" s="14" t="s">
        <v>15</v>
      </c>
      <c r="E1" s="14" t="s">
        <v>21</v>
      </c>
      <c r="F1" s="14" t="s">
        <v>23</v>
      </c>
      <c r="G1" s="14" t="s">
        <v>24</v>
      </c>
    </row>
    <row r="2" spans="1:12" x14ac:dyDescent="0.25">
      <c r="A2" s="14">
        <v>2021</v>
      </c>
      <c r="B2" s="14" t="s">
        <v>31</v>
      </c>
      <c r="C2" s="26">
        <v>3918.56</v>
      </c>
      <c r="D2" s="14">
        <v>161</v>
      </c>
      <c r="E2" s="14">
        <v>147.9</v>
      </c>
      <c r="F2" s="14">
        <v>159.30000000000001</v>
      </c>
      <c r="G2" s="14">
        <v>141.9</v>
      </c>
    </row>
    <row r="3" spans="1:12" x14ac:dyDescent="0.25">
      <c r="A3" s="14">
        <v>2021</v>
      </c>
      <c r="B3" s="14" t="s">
        <v>35</v>
      </c>
      <c r="C3" s="27">
        <v>4399.41</v>
      </c>
      <c r="D3" s="14">
        <v>156.9</v>
      </c>
      <c r="E3" s="14">
        <v>152.4</v>
      </c>
      <c r="F3" s="14">
        <v>161.30000000000001</v>
      </c>
      <c r="G3" s="14">
        <v>145.1</v>
      </c>
    </row>
    <row r="4" spans="1:12" x14ac:dyDescent="0.25">
      <c r="A4" s="14">
        <v>2021</v>
      </c>
      <c r="B4" s="14" t="s">
        <v>36</v>
      </c>
      <c r="C4" s="26">
        <v>4646.3599999999997</v>
      </c>
      <c r="D4" s="14">
        <v>156.69999999999999</v>
      </c>
      <c r="E4" s="14">
        <v>155.5</v>
      </c>
      <c r="F4" s="14">
        <v>161.69999999999999</v>
      </c>
      <c r="G4" s="14">
        <v>146.19999999999999</v>
      </c>
    </row>
    <row r="5" spans="1:12" ht="15.75" x14ac:dyDescent="0.25">
      <c r="A5" s="14">
        <v>2021</v>
      </c>
      <c r="B5" s="14" t="s">
        <v>37</v>
      </c>
      <c r="C5" s="27">
        <v>4684.6400000000003</v>
      </c>
      <c r="D5" s="14">
        <v>158</v>
      </c>
      <c r="E5" s="14">
        <v>155.6</v>
      </c>
      <c r="F5" s="14">
        <v>162.30000000000001</v>
      </c>
      <c r="G5" s="14">
        <v>146.6</v>
      </c>
      <c r="I5" s="13" t="s">
        <v>69</v>
      </c>
      <c r="J5" s="13"/>
      <c r="K5" s="13"/>
      <c r="L5" s="13"/>
    </row>
    <row r="6" spans="1:12" x14ac:dyDescent="0.25">
      <c r="A6" s="14">
        <v>2021</v>
      </c>
      <c r="B6" s="14" t="s">
        <v>38</v>
      </c>
      <c r="C6" s="26">
        <v>4870.9799999999996</v>
      </c>
      <c r="D6" s="14">
        <v>160.69999999999999</v>
      </c>
      <c r="E6" s="14">
        <v>159.4</v>
      </c>
      <c r="F6" s="14">
        <v>165.8</v>
      </c>
      <c r="G6" s="14">
        <v>148.9</v>
      </c>
    </row>
    <row r="7" spans="1:12" ht="15.75" x14ac:dyDescent="0.25">
      <c r="A7" s="14">
        <v>2021</v>
      </c>
      <c r="B7" s="14" t="s">
        <v>39</v>
      </c>
      <c r="C7" s="27">
        <v>5281.48</v>
      </c>
      <c r="D7" s="14">
        <v>162.6</v>
      </c>
      <c r="E7" s="14">
        <v>159.80000000000001</v>
      </c>
      <c r="F7" s="14">
        <v>166.3</v>
      </c>
      <c r="G7" s="14">
        <v>150.69999999999999</v>
      </c>
      <c r="I7" s="33" t="s">
        <v>0</v>
      </c>
      <c r="J7" s="44" t="s">
        <v>75</v>
      </c>
      <c r="K7" s="44"/>
    </row>
    <row r="8" spans="1:12" ht="15.75" x14ac:dyDescent="0.25">
      <c r="A8" s="14">
        <v>2021</v>
      </c>
      <c r="B8" s="14" t="s">
        <v>40</v>
      </c>
      <c r="C8" s="26">
        <v>5460.9</v>
      </c>
      <c r="D8" s="14">
        <v>164</v>
      </c>
      <c r="E8" s="14">
        <v>160.69999999999999</v>
      </c>
      <c r="F8" s="14">
        <v>167</v>
      </c>
      <c r="G8" s="14">
        <v>153.1</v>
      </c>
      <c r="I8" s="34" t="s">
        <v>15</v>
      </c>
      <c r="J8" s="45">
        <f>CORREL(C2:C30,D2:D30)</f>
        <v>0.6992487597760989</v>
      </c>
      <c r="K8" s="45"/>
    </row>
    <row r="9" spans="1:12" ht="15.75" x14ac:dyDescent="0.25">
      <c r="A9" s="14">
        <v>2021</v>
      </c>
      <c r="B9" s="14" t="s">
        <v>41</v>
      </c>
      <c r="C9" s="27">
        <v>5108.7299999999996</v>
      </c>
      <c r="D9" s="14">
        <v>164</v>
      </c>
      <c r="E9" s="14">
        <v>162.6</v>
      </c>
      <c r="F9" s="14">
        <v>168.4</v>
      </c>
      <c r="G9" s="14">
        <v>154</v>
      </c>
      <c r="I9" s="34" t="s">
        <v>21</v>
      </c>
      <c r="J9" s="45">
        <f>CORREL(C2:C30,E2:E30)</f>
        <v>0.69868863736555287</v>
      </c>
      <c r="K9" s="45"/>
    </row>
    <row r="10" spans="1:12" ht="15.75" x14ac:dyDescent="0.25">
      <c r="A10" s="14">
        <v>2021</v>
      </c>
      <c r="B10" s="14" t="s">
        <v>42</v>
      </c>
      <c r="C10" s="26">
        <v>5359.17</v>
      </c>
      <c r="D10" s="14">
        <v>164</v>
      </c>
      <c r="E10" s="14">
        <v>162.6</v>
      </c>
      <c r="F10" s="14">
        <v>168.4</v>
      </c>
      <c r="G10" s="14">
        <v>154</v>
      </c>
      <c r="I10" s="34" t="s">
        <v>23</v>
      </c>
      <c r="J10" s="45">
        <f>CORREL(C2:C30,F2:F30)</f>
        <v>0.60701633505987906</v>
      </c>
      <c r="K10" s="45"/>
    </row>
    <row r="11" spans="1:12" ht="15.75" x14ac:dyDescent="0.25">
      <c r="A11" s="14">
        <v>2021</v>
      </c>
      <c r="B11" s="14" t="s">
        <v>43</v>
      </c>
      <c r="C11" s="27">
        <v>6146.58</v>
      </c>
      <c r="D11" s="14">
        <v>167.7</v>
      </c>
      <c r="E11" s="14">
        <v>164.2</v>
      </c>
      <c r="F11" s="14">
        <v>169.1</v>
      </c>
      <c r="G11" s="14">
        <v>155.69999999999999</v>
      </c>
      <c r="I11" s="34" t="s">
        <v>24</v>
      </c>
      <c r="J11" s="45">
        <f>CORREL(C2:C30,G2:G30)</f>
        <v>0.7691346178544527</v>
      </c>
      <c r="K11" s="45"/>
    </row>
    <row r="12" spans="1:12" x14ac:dyDescent="0.25">
      <c r="A12" s="14">
        <v>2021</v>
      </c>
      <c r="B12" s="14" t="s">
        <v>45</v>
      </c>
      <c r="C12" s="26">
        <v>5952.69</v>
      </c>
      <c r="D12" s="14">
        <v>169.7</v>
      </c>
      <c r="E12" s="14">
        <v>163.9</v>
      </c>
      <c r="F12" s="14">
        <v>169.9</v>
      </c>
      <c r="G12" s="14">
        <v>154.80000000000001</v>
      </c>
    </row>
    <row r="13" spans="1:12" x14ac:dyDescent="0.25">
      <c r="A13" s="14">
        <v>2021</v>
      </c>
      <c r="B13" s="14" t="s">
        <v>46</v>
      </c>
      <c r="C13" s="27">
        <v>5504.55</v>
      </c>
      <c r="D13" s="14">
        <v>168.2</v>
      </c>
      <c r="E13" s="14">
        <v>164.1</v>
      </c>
      <c r="F13" s="14">
        <v>170.6</v>
      </c>
      <c r="G13" s="14">
        <v>155.69999999999999</v>
      </c>
    </row>
    <row r="14" spans="1:12" x14ac:dyDescent="0.25">
      <c r="A14" s="14">
        <v>2022</v>
      </c>
      <c r="B14" s="14" t="s">
        <v>31</v>
      </c>
      <c r="C14" s="26">
        <v>6247.71</v>
      </c>
      <c r="D14" s="14">
        <v>166.4</v>
      </c>
      <c r="E14" s="14">
        <v>164.2</v>
      </c>
      <c r="F14" s="14">
        <v>171.4</v>
      </c>
      <c r="G14" s="14">
        <v>156.5</v>
      </c>
    </row>
    <row r="15" spans="1:12" x14ac:dyDescent="0.25">
      <c r="A15" s="14">
        <v>2022</v>
      </c>
      <c r="B15" s="14" t="s">
        <v>35</v>
      </c>
      <c r="C15" s="27">
        <v>7018.51</v>
      </c>
      <c r="D15" s="14">
        <v>166.2</v>
      </c>
      <c r="E15" s="14">
        <v>165.7</v>
      </c>
      <c r="F15" s="14">
        <v>172.2</v>
      </c>
      <c r="G15" s="14">
        <v>156.9</v>
      </c>
    </row>
    <row r="16" spans="1:12" x14ac:dyDescent="0.25">
      <c r="A16" s="14">
        <v>2022</v>
      </c>
      <c r="B16" s="14" t="s">
        <v>36</v>
      </c>
      <c r="C16" s="26">
        <v>8569.8799999999992</v>
      </c>
      <c r="D16" s="14">
        <v>168.4</v>
      </c>
      <c r="E16" s="14">
        <v>167.2</v>
      </c>
      <c r="F16" s="14">
        <v>173</v>
      </c>
      <c r="G16" s="14">
        <v>157.9</v>
      </c>
    </row>
    <row r="17" spans="1:7" x14ac:dyDescent="0.25">
      <c r="A17" s="14">
        <v>2022</v>
      </c>
      <c r="B17" s="14" t="s">
        <v>37</v>
      </c>
      <c r="C17" s="27">
        <v>7877.96</v>
      </c>
      <c r="D17" s="14">
        <v>170.8</v>
      </c>
      <c r="E17" s="14">
        <v>172.2</v>
      </c>
      <c r="F17" s="14">
        <v>174</v>
      </c>
      <c r="G17" s="14">
        <v>162.6</v>
      </c>
    </row>
    <row r="18" spans="1:7" x14ac:dyDescent="0.25">
      <c r="A18" s="14">
        <v>2022</v>
      </c>
      <c r="B18" s="14" t="s">
        <v>38</v>
      </c>
      <c r="C18" s="26">
        <v>8511.74</v>
      </c>
      <c r="D18" s="14">
        <v>173.3</v>
      </c>
      <c r="E18" s="14">
        <v>174.6</v>
      </c>
      <c r="F18" s="14">
        <v>174.8</v>
      </c>
      <c r="G18" s="14">
        <v>163</v>
      </c>
    </row>
    <row r="19" spans="1:7" x14ac:dyDescent="0.25">
      <c r="A19" s="14">
        <v>2022</v>
      </c>
      <c r="B19" s="14" t="s">
        <v>39</v>
      </c>
      <c r="C19" s="27">
        <v>9119.5499999999993</v>
      </c>
      <c r="D19" s="14">
        <v>174.9</v>
      </c>
      <c r="E19" s="14">
        <v>176</v>
      </c>
      <c r="F19" s="14">
        <v>175.4</v>
      </c>
      <c r="G19" s="14">
        <v>161.1</v>
      </c>
    </row>
    <row r="20" spans="1:7" x14ac:dyDescent="0.25">
      <c r="A20" s="14">
        <v>2022</v>
      </c>
      <c r="B20" s="14" t="s">
        <v>40</v>
      </c>
      <c r="C20" s="26">
        <v>8366.39</v>
      </c>
      <c r="D20" s="14">
        <v>175</v>
      </c>
      <c r="E20" s="14">
        <v>179.6</v>
      </c>
      <c r="F20" s="14">
        <v>176.1</v>
      </c>
      <c r="G20" s="14">
        <v>161.6</v>
      </c>
    </row>
    <row r="21" spans="1:7" x14ac:dyDescent="0.25">
      <c r="A21" s="14">
        <v>2022</v>
      </c>
      <c r="B21" s="14" t="s">
        <v>41</v>
      </c>
      <c r="C21" s="27">
        <v>7634.9</v>
      </c>
      <c r="D21" s="14">
        <v>176.3</v>
      </c>
      <c r="E21" s="14">
        <v>178.8</v>
      </c>
      <c r="F21" s="14">
        <v>176.8</v>
      </c>
      <c r="G21" s="14">
        <v>161.9</v>
      </c>
    </row>
    <row r="22" spans="1:7" x14ac:dyDescent="0.25">
      <c r="A22" s="14">
        <v>2022</v>
      </c>
      <c r="B22" s="14" t="s">
        <v>42</v>
      </c>
      <c r="C22" s="26">
        <v>7079.45</v>
      </c>
      <c r="D22" s="14">
        <v>177.8</v>
      </c>
      <c r="E22" s="14">
        <v>179.5</v>
      </c>
      <c r="F22" s="14">
        <v>177.8</v>
      </c>
      <c r="G22" s="14">
        <v>162.30000000000001</v>
      </c>
    </row>
    <row r="23" spans="1:7" x14ac:dyDescent="0.25">
      <c r="A23" s="14">
        <v>2022</v>
      </c>
      <c r="B23" s="14" t="s">
        <v>43</v>
      </c>
      <c r="C23" s="27">
        <v>7437.13</v>
      </c>
      <c r="D23" s="14">
        <v>179.6</v>
      </c>
      <c r="E23" s="14">
        <v>180.5</v>
      </c>
      <c r="F23" s="14">
        <v>178.7</v>
      </c>
      <c r="G23" s="14">
        <v>162.9</v>
      </c>
    </row>
    <row r="24" spans="1:7" x14ac:dyDescent="0.25">
      <c r="A24" s="14">
        <v>2022</v>
      </c>
      <c r="B24" s="14" t="s">
        <v>45</v>
      </c>
      <c r="C24" s="26">
        <v>7150.11</v>
      </c>
      <c r="D24" s="14">
        <v>178.3</v>
      </c>
      <c r="E24" s="14">
        <v>181.3</v>
      </c>
      <c r="F24" s="14">
        <v>179.8</v>
      </c>
      <c r="G24" s="14">
        <v>163</v>
      </c>
    </row>
    <row r="25" spans="1:7" x14ac:dyDescent="0.25">
      <c r="A25" s="14">
        <v>2022</v>
      </c>
      <c r="B25" s="14" t="s">
        <v>46</v>
      </c>
      <c r="C25" s="27">
        <v>6429.95</v>
      </c>
      <c r="D25" s="14">
        <v>175.9</v>
      </c>
      <c r="E25" s="14">
        <v>182</v>
      </c>
      <c r="F25" s="14">
        <v>181.1</v>
      </c>
      <c r="G25" s="14">
        <v>163.4</v>
      </c>
    </row>
    <row r="26" spans="1:7" x14ac:dyDescent="0.25">
      <c r="A26" s="14">
        <v>2023</v>
      </c>
      <c r="B26" s="14" t="s">
        <v>31</v>
      </c>
      <c r="C26" s="26">
        <v>6584.69</v>
      </c>
      <c r="D26" s="14">
        <v>176.7</v>
      </c>
      <c r="E26" s="14">
        <v>182</v>
      </c>
      <c r="F26" s="14">
        <v>182.3</v>
      </c>
      <c r="G26" s="14">
        <v>163.6</v>
      </c>
    </row>
    <row r="27" spans="1:7" x14ac:dyDescent="0.25">
      <c r="A27" s="14">
        <v>2023</v>
      </c>
      <c r="B27" s="14" t="s">
        <v>35</v>
      </c>
      <c r="C27" s="27">
        <v>6628.99</v>
      </c>
      <c r="D27" s="14">
        <v>177</v>
      </c>
      <c r="E27" s="14">
        <v>182.1</v>
      </c>
      <c r="F27" s="14">
        <v>184.4</v>
      </c>
      <c r="G27" s="14">
        <v>164.2</v>
      </c>
    </row>
    <row r="28" spans="1:7" x14ac:dyDescent="0.25">
      <c r="A28" s="14">
        <v>2023</v>
      </c>
      <c r="B28" s="14" t="s">
        <v>36</v>
      </c>
      <c r="C28" s="26">
        <v>6292.9</v>
      </c>
      <c r="D28" s="14">
        <v>177</v>
      </c>
      <c r="E28" s="14">
        <v>181.9</v>
      </c>
      <c r="F28" s="14">
        <v>184.4</v>
      </c>
      <c r="G28" s="14">
        <v>164.2</v>
      </c>
    </row>
    <row r="29" spans="1:7" x14ac:dyDescent="0.25">
      <c r="A29" s="14">
        <v>2023</v>
      </c>
      <c r="B29" s="14" t="s">
        <v>37</v>
      </c>
      <c r="C29" s="27">
        <v>6763.43</v>
      </c>
      <c r="D29" s="14">
        <v>177.9</v>
      </c>
      <c r="E29" s="14">
        <v>181.7</v>
      </c>
      <c r="F29" s="14">
        <v>185</v>
      </c>
      <c r="G29" s="14">
        <v>164.5</v>
      </c>
    </row>
    <row r="30" spans="1:7" x14ac:dyDescent="0.25">
      <c r="A30" s="14">
        <v>2023</v>
      </c>
      <c r="B30" s="14" t="s">
        <v>38</v>
      </c>
      <c r="C30" s="26">
        <v>6102.52</v>
      </c>
      <c r="D30" s="14">
        <v>179.1</v>
      </c>
      <c r="E30" s="14">
        <v>182.8</v>
      </c>
      <c r="F30" s="14">
        <v>185.7</v>
      </c>
      <c r="G30" s="14">
        <v>164.8</v>
      </c>
    </row>
    <row r="35" spans="1:7" x14ac:dyDescent="0.25">
      <c r="A35" s="24" t="s">
        <v>1</v>
      </c>
      <c r="B35" s="24" t="s">
        <v>2</v>
      </c>
      <c r="C35" s="24" t="s">
        <v>68</v>
      </c>
      <c r="D35" s="24" t="s">
        <v>15</v>
      </c>
      <c r="E35" s="24" t="s">
        <v>21</v>
      </c>
      <c r="F35" s="24" t="s">
        <v>23</v>
      </c>
      <c r="G35" s="24" t="s">
        <v>24</v>
      </c>
    </row>
    <row r="36" spans="1:7" x14ac:dyDescent="0.25">
      <c r="A36" s="25">
        <v>2021</v>
      </c>
      <c r="B36" s="25" t="s">
        <v>31</v>
      </c>
      <c r="C36" s="16">
        <f>(C2-C2)/C2</f>
        <v>0</v>
      </c>
      <c r="D36" s="16">
        <v>0</v>
      </c>
      <c r="E36" s="16">
        <v>0</v>
      </c>
      <c r="F36" s="16">
        <v>0</v>
      </c>
      <c r="G36" s="16">
        <v>0</v>
      </c>
    </row>
    <row r="37" spans="1:7" x14ac:dyDescent="0.25">
      <c r="A37" s="25">
        <v>2021</v>
      </c>
      <c r="B37" s="25" t="s">
        <v>35</v>
      </c>
      <c r="C37" s="16">
        <f t="shared" ref="C37:G46" si="0">(C3-C2)/C2</f>
        <v>0.12271089379772158</v>
      </c>
      <c r="D37" s="16">
        <f t="shared" si="0"/>
        <v>-2.5465838509316736E-2</v>
      </c>
      <c r="E37" s="16">
        <f t="shared" si="0"/>
        <v>3.0425963488843813E-2</v>
      </c>
      <c r="F37" s="16">
        <f t="shared" si="0"/>
        <v>1.2554927809165096E-2</v>
      </c>
      <c r="G37" s="16">
        <f t="shared" si="0"/>
        <v>2.2551092318534097E-2</v>
      </c>
    </row>
    <row r="38" spans="1:7" x14ac:dyDescent="0.25">
      <c r="A38" s="25">
        <v>2021</v>
      </c>
      <c r="B38" s="25" t="s">
        <v>36</v>
      </c>
      <c r="C38" s="16">
        <f t="shared" si="0"/>
        <v>5.6132526861556398E-2</v>
      </c>
      <c r="D38" s="16">
        <f t="shared" si="0"/>
        <v>-1.2746972594010009E-3</v>
      </c>
      <c r="E38" s="16">
        <f t="shared" si="0"/>
        <v>2.0341207349081326E-2</v>
      </c>
      <c r="F38" s="16">
        <f t="shared" si="0"/>
        <v>2.4798512089273233E-3</v>
      </c>
      <c r="G38" s="16">
        <f t="shared" si="0"/>
        <v>7.5809786354238068E-3</v>
      </c>
    </row>
    <row r="39" spans="1:7" x14ac:dyDescent="0.25">
      <c r="A39" s="25">
        <v>2021</v>
      </c>
      <c r="B39" s="25" t="s">
        <v>37</v>
      </c>
      <c r="C39" s="16">
        <f t="shared" si="0"/>
        <v>8.2387072891469144E-3</v>
      </c>
      <c r="D39" s="16">
        <f t="shared" si="0"/>
        <v>8.2961072112317253E-3</v>
      </c>
      <c r="E39" s="16">
        <f t="shared" si="0"/>
        <v>6.4308681672022071E-4</v>
      </c>
      <c r="F39" s="16">
        <f t="shared" si="0"/>
        <v>3.7105751391467087E-3</v>
      </c>
      <c r="G39" s="16">
        <f t="shared" si="0"/>
        <v>2.7359781121751416E-3</v>
      </c>
    </row>
    <row r="40" spans="1:7" x14ac:dyDescent="0.25">
      <c r="A40" s="25">
        <v>2021</v>
      </c>
      <c r="B40" s="25" t="s">
        <v>38</v>
      </c>
      <c r="C40" s="16">
        <f t="shared" si="0"/>
        <v>3.9776802486423554E-2</v>
      </c>
      <c r="D40" s="16">
        <f t="shared" si="0"/>
        <v>1.7088607594936637E-2</v>
      </c>
      <c r="E40" s="16">
        <f t="shared" si="0"/>
        <v>2.4421593830334265E-2</v>
      </c>
      <c r="F40" s="16">
        <f t="shared" si="0"/>
        <v>2.1565003080714726E-2</v>
      </c>
      <c r="G40" s="16">
        <f t="shared" si="0"/>
        <v>1.568894952251031E-2</v>
      </c>
    </row>
    <row r="41" spans="1:7" x14ac:dyDescent="0.25">
      <c r="A41" s="25">
        <v>2021</v>
      </c>
      <c r="B41" s="25" t="s">
        <v>39</v>
      </c>
      <c r="C41" s="16">
        <f t="shared" si="0"/>
        <v>8.4274622355255013E-2</v>
      </c>
      <c r="D41" s="16">
        <f t="shared" si="0"/>
        <v>1.1823273179838244E-2</v>
      </c>
      <c r="E41" s="16">
        <f t="shared" si="0"/>
        <v>2.5094102885822186E-3</v>
      </c>
      <c r="F41" s="16">
        <f t="shared" si="0"/>
        <v>3.0156815440289505E-3</v>
      </c>
      <c r="G41" s="16">
        <f t="shared" si="0"/>
        <v>1.2088650100738636E-2</v>
      </c>
    </row>
    <row r="42" spans="1:7" x14ac:dyDescent="0.25">
      <c r="A42" s="25">
        <v>2021</v>
      </c>
      <c r="B42" s="25" t="s">
        <v>40</v>
      </c>
      <c r="C42" s="16">
        <f t="shared" si="0"/>
        <v>3.3971538280936422E-2</v>
      </c>
      <c r="D42" s="16">
        <f t="shared" si="0"/>
        <v>8.6100861008610446E-3</v>
      </c>
      <c r="E42" s="16">
        <f t="shared" si="0"/>
        <v>5.6320400500624356E-3</v>
      </c>
      <c r="F42" s="16">
        <f t="shared" si="0"/>
        <v>4.2092603728201361E-3</v>
      </c>
      <c r="G42" s="16">
        <f t="shared" si="0"/>
        <v>1.5925680159256841E-2</v>
      </c>
    </row>
    <row r="43" spans="1:7" x14ac:dyDescent="0.25">
      <c r="A43" s="25">
        <v>2021</v>
      </c>
      <c r="B43" s="25" t="s">
        <v>41</v>
      </c>
      <c r="C43" s="16">
        <f t="shared" si="0"/>
        <v>-6.448936988408506E-2</v>
      </c>
      <c r="D43" s="16">
        <f t="shared" si="0"/>
        <v>0</v>
      </c>
      <c r="E43" s="16">
        <f t="shared" si="0"/>
        <v>1.1823273179838244E-2</v>
      </c>
      <c r="F43" s="16">
        <f t="shared" si="0"/>
        <v>8.3832335329341659E-3</v>
      </c>
      <c r="G43" s="16">
        <f t="shared" si="0"/>
        <v>5.8785107772697954E-3</v>
      </c>
    </row>
    <row r="44" spans="1:7" x14ac:dyDescent="0.25">
      <c r="A44" s="25">
        <v>2021</v>
      </c>
      <c r="B44" s="25" t="s">
        <v>42</v>
      </c>
      <c r="C44" s="16">
        <f t="shared" si="0"/>
        <v>4.9021968277830404E-2</v>
      </c>
      <c r="D44" s="16">
        <f t="shared" si="0"/>
        <v>0</v>
      </c>
      <c r="E44" s="16">
        <f t="shared" si="0"/>
        <v>0</v>
      </c>
      <c r="F44" s="16">
        <f t="shared" si="0"/>
        <v>0</v>
      </c>
      <c r="G44" s="16">
        <f t="shared" si="0"/>
        <v>0</v>
      </c>
    </row>
    <row r="45" spans="1:7" x14ac:dyDescent="0.25">
      <c r="A45" s="25">
        <v>2021</v>
      </c>
      <c r="B45" s="25" t="s">
        <v>43</v>
      </c>
      <c r="C45" s="16">
        <f t="shared" si="0"/>
        <v>0.14692760259517795</v>
      </c>
      <c r="D45" s="16">
        <f t="shared" si="0"/>
        <v>2.2560975609756027E-2</v>
      </c>
      <c r="E45" s="16">
        <f t="shared" si="0"/>
        <v>9.8400984009839754E-3</v>
      </c>
      <c r="F45" s="16">
        <f t="shared" si="0"/>
        <v>4.1567695961994573E-3</v>
      </c>
      <c r="G45" s="16">
        <f t="shared" si="0"/>
        <v>1.1038961038960965E-2</v>
      </c>
    </row>
    <row r="46" spans="1:7" x14ac:dyDescent="0.25">
      <c r="A46" s="25">
        <v>2021</v>
      </c>
      <c r="B46" s="25" t="s">
        <v>45</v>
      </c>
      <c r="C46" s="16">
        <f t="shared" si="0"/>
        <v>-3.1544371016077287E-2</v>
      </c>
      <c r="D46" s="16">
        <f t="shared" si="0"/>
        <v>1.1926058437686345E-2</v>
      </c>
      <c r="E46" s="16">
        <f t="shared" si="0"/>
        <v>-1.8270401948841837E-3</v>
      </c>
      <c r="F46" s="16">
        <f t="shared" si="0"/>
        <v>4.730928444707341E-3</v>
      </c>
      <c r="G46" s="16">
        <f t="shared" si="0"/>
        <v>-5.7803468208091026E-3</v>
      </c>
    </row>
    <row r="47" spans="1:7" x14ac:dyDescent="0.25">
      <c r="A47" s="25">
        <v>2021</v>
      </c>
      <c r="B47" s="25" t="s">
        <v>46</v>
      </c>
      <c r="C47" s="16">
        <f t="shared" ref="C47:G56" si="1">(C13-C12)/C12</f>
        <v>-7.5283611274902518E-2</v>
      </c>
      <c r="D47" s="16">
        <f t="shared" si="1"/>
        <v>-8.8391278727165592E-3</v>
      </c>
      <c r="E47" s="16">
        <f t="shared" si="1"/>
        <v>1.2202562538132314E-3</v>
      </c>
      <c r="F47" s="16">
        <f t="shared" si="1"/>
        <v>4.1200706297821578E-3</v>
      </c>
      <c r="G47" s="16">
        <f t="shared" si="1"/>
        <v>5.8139534883719455E-3</v>
      </c>
    </row>
    <row r="48" spans="1:7" x14ac:dyDescent="0.25">
      <c r="A48" s="25">
        <v>2022</v>
      </c>
      <c r="B48" s="25" t="s">
        <v>31</v>
      </c>
      <c r="C48" s="16">
        <f t="shared" si="1"/>
        <v>0.13500831130610128</v>
      </c>
      <c r="D48" s="16">
        <f t="shared" si="1"/>
        <v>-1.070154577883462E-2</v>
      </c>
      <c r="E48" s="16">
        <f t="shared" si="1"/>
        <v>6.0938452163311586E-4</v>
      </c>
      <c r="F48" s="16">
        <f t="shared" si="1"/>
        <v>4.6893317702228097E-3</v>
      </c>
      <c r="G48" s="16">
        <f t="shared" si="1"/>
        <v>5.1380860629416276E-3</v>
      </c>
    </row>
    <row r="49" spans="1:7" x14ac:dyDescent="0.25">
      <c r="A49" s="25">
        <v>2022</v>
      </c>
      <c r="B49" s="25" t="s">
        <v>35</v>
      </c>
      <c r="C49" s="16">
        <f t="shared" si="1"/>
        <v>0.12337320394192434</v>
      </c>
      <c r="D49" s="16">
        <f t="shared" si="1"/>
        <v>-1.2019230769231793E-3</v>
      </c>
      <c r="E49" s="16">
        <f t="shared" si="1"/>
        <v>9.1352009744214372E-3</v>
      </c>
      <c r="F49" s="16">
        <f t="shared" si="1"/>
        <v>4.6674445740955833E-3</v>
      </c>
      <c r="G49" s="16">
        <f t="shared" si="1"/>
        <v>2.5559105431310269E-3</v>
      </c>
    </row>
    <row r="50" spans="1:7" x14ac:dyDescent="0.25">
      <c r="A50" s="25">
        <v>2022</v>
      </c>
      <c r="B50" s="25" t="s">
        <v>36</v>
      </c>
      <c r="C50" s="16">
        <f t="shared" si="1"/>
        <v>0.22103979334645088</v>
      </c>
      <c r="D50" s="16">
        <f t="shared" si="1"/>
        <v>1.3237063778580128E-2</v>
      </c>
      <c r="E50" s="16">
        <f t="shared" si="1"/>
        <v>9.0525045262522634E-3</v>
      </c>
      <c r="F50" s="16">
        <f t="shared" si="1"/>
        <v>4.6457607433217848E-3</v>
      </c>
      <c r="G50" s="16">
        <f t="shared" si="1"/>
        <v>6.3734862970044612E-3</v>
      </c>
    </row>
    <row r="51" spans="1:7" x14ac:dyDescent="0.25">
      <c r="A51" s="25">
        <v>2022</v>
      </c>
      <c r="B51" s="25" t="s">
        <v>37</v>
      </c>
      <c r="C51" s="16">
        <f t="shared" si="1"/>
        <v>-8.0738586771343268E-2</v>
      </c>
      <c r="D51" s="16">
        <f t="shared" si="1"/>
        <v>1.4251781472684119E-2</v>
      </c>
      <c r="E51" s="16">
        <f t="shared" si="1"/>
        <v>2.9904306220095697E-2</v>
      </c>
      <c r="F51" s="16">
        <f t="shared" si="1"/>
        <v>5.7803468208092483E-3</v>
      </c>
      <c r="G51" s="16">
        <f t="shared" si="1"/>
        <v>2.9765674477517344E-2</v>
      </c>
    </row>
    <row r="52" spans="1:7" x14ac:dyDescent="0.25">
      <c r="A52" s="25">
        <v>2022</v>
      </c>
      <c r="B52" s="25" t="s">
        <v>38</v>
      </c>
      <c r="C52" s="16">
        <f t="shared" si="1"/>
        <v>8.0449761105666914E-2</v>
      </c>
      <c r="D52" s="16">
        <f t="shared" si="1"/>
        <v>1.4637002341920374E-2</v>
      </c>
      <c r="E52" s="16">
        <f t="shared" si="1"/>
        <v>1.3937282229965191E-2</v>
      </c>
      <c r="F52" s="16">
        <f t="shared" si="1"/>
        <v>4.5977011494253523E-3</v>
      </c>
      <c r="G52" s="16">
        <f t="shared" si="1"/>
        <v>2.4600246002460377E-3</v>
      </c>
    </row>
    <row r="53" spans="1:7" x14ac:dyDescent="0.25">
      <c r="A53" s="25">
        <v>2022</v>
      </c>
      <c r="B53" s="25" t="s">
        <v>39</v>
      </c>
      <c r="C53" s="16">
        <f t="shared" si="1"/>
        <v>7.1408431178583878E-2</v>
      </c>
      <c r="D53" s="16">
        <f t="shared" si="1"/>
        <v>9.2325447201384546E-3</v>
      </c>
      <c r="E53" s="16">
        <f t="shared" si="1"/>
        <v>8.0183276059565042E-3</v>
      </c>
      <c r="F53" s="16">
        <f t="shared" si="1"/>
        <v>3.4324942791761686E-3</v>
      </c>
      <c r="G53" s="16">
        <f t="shared" si="1"/>
        <v>-1.1656441717791446E-2</v>
      </c>
    </row>
    <row r="54" spans="1:7" x14ac:dyDescent="0.25">
      <c r="A54" s="25">
        <v>2022</v>
      </c>
      <c r="B54" s="25" t="s">
        <v>40</v>
      </c>
      <c r="C54" s="16">
        <f t="shared" si="1"/>
        <v>-8.2587408369930518E-2</v>
      </c>
      <c r="D54" s="16">
        <f t="shared" si="1"/>
        <v>5.7175528873638828E-4</v>
      </c>
      <c r="E54" s="16">
        <f t="shared" si="1"/>
        <v>2.0454545454545423E-2</v>
      </c>
      <c r="F54" s="16">
        <f t="shared" si="1"/>
        <v>3.9908779931584299E-3</v>
      </c>
      <c r="G54" s="16">
        <f t="shared" si="1"/>
        <v>3.1036623215394167E-3</v>
      </c>
    </row>
    <row r="55" spans="1:7" x14ac:dyDescent="0.25">
      <c r="A55" s="25">
        <v>2022</v>
      </c>
      <c r="B55" s="25" t="s">
        <v>41</v>
      </c>
      <c r="C55" s="16">
        <f t="shared" si="1"/>
        <v>-8.7431974842195961E-2</v>
      </c>
      <c r="D55" s="16">
        <f t="shared" si="1"/>
        <v>7.4285714285714935E-3</v>
      </c>
      <c r="E55" s="16">
        <f t="shared" si="1"/>
        <v>-4.4543429844097048E-3</v>
      </c>
      <c r="F55" s="16">
        <f t="shared" si="1"/>
        <v>3.9750141964793699E-3</v>
      </c>
      <c r="G55" s="16">
        <f t="shared" si="1"/>
        <v>1.8564356435644268E-3</v>
      </c>
    </row>
    <row r="56" spans="1:7" x14ac:dyDescent="0.25">
      <c r="A56" s="25">
        <v>2022</v>
      </c>
      <c r="B56" s="25" t="s">
        <v>42</v>
      </c>
      <c r="C56" s="16">
        <f t="shared" si="1"/>
        <v>-7.2751444026771778E-2</v>
      </c>
      <c r="D56" s="16">
        <f t="shared" si="1"/>
        <v>8.5082246171298923E-3</v>
      </c>
      <c r="E56" s="16">
        <f t="shared" si="1"/>
        <v>3.9149888143176093E-3</v>
      </c>
      <c r="F56" s="16">
        <f t="shared" si="1"/>
        <v>5.6561085972850677E-3</v>
      </c>
      <c r="G56" s="16">
        <f t="shared" si="1"/>
        <v>2.470660901791264E-3</v>
      </c>
    </row>
    <row r="57" spans="1:7" x14ac:dyDescent="0.25">
      <c r="A57" s="25">
        <v>2022</v>
      </c>
      <c r="B57" s="25" t="s">
        <v>43</v>
      </c>
      <c r="C57" s="16">
        <f t="shared" ref="C57:G64" si="2">(C23-C22)/C22</f>
        <v>5.0523698874912641E-2</v>
      </c>
      <c r="D57" s="16">
        <f t="shared" si="2"/>
        <v>1.0123734533183255E-2</v>
      </c>
      <c r="E57" s="16">
        <f t="shared" si="2"/>
        <v>5.5710306406685237E-3</v>
      </c>
      <c r="F57" s="16">
        <f t="shared" si="2"/>
        <v>5.0618672665915477E-3</v>
      </c>
      <c r="G57" s="16">
        <f t="shared" si="2"/>
        <v>3.6968576709796321E-3</v>
      </c>
    </row>
    <row r="58" spans="1:7" x14ac:dyDescent="0.25">
      <c r="A58" s="25">
        <v>2022</v>
      </c>
      <c r="B58" s="25" t="s">
        <v>45</v>
      </c>
      <c r="C58" s="16">
        <f t="shared" si="2"/>
        <v>-3.8592844282673615E-2</v>
      </c>
      <c r="D58" s="16">
        <f t="shared" si="2"/>
        <v>-7.2383073496658295E-3</v>
      </c>
      <c r="E58" s="16">
        <f t="shared" si="2"/>
        <v>4.4321329639889825E-3</v>
      </c>
      <c r="F58" s="16">
        <f t="shared" si="2"/>
        <v>6.1555679910465745E-3</v>
      </c>
      <c r="G58" s="16">
        <f t="shared" si="2"/>
        <v>6.1387354205030267E-4</v>
      </c>
    </row>
    <row r="59" spans="1:7" x14ac:dyDescent="0.25">
      <c r="A59" s="25">
        <v>2022</v>
      </c>
      <c r="B59" s="25" t="s">
        <v>46</v>
      </c>
      <c r="C59" s="16">
        <f t="shared" si="2"/>
        <v>-0.10072012878123551</v>
      </c>
      <c r="D59" s="16">
        <f t="shared" si="2"/>
        <v>-1.3460459899046581E-2</v>
      </c>
      <c r="E59" s="16">
        <f t="shared" si="2"/>
        <v>3.8610038610037982E-3</v>
      </c>
      <c r="F59" s="16">
        <f t="shared" si="2"/>
        <v>7.2302558398219295E-3</v>
      </c>
      <c r="G59" s="16">
        <f t="shared" si="2"/>
        <v>2.4539877300613845E-3</v>
      </c>
    </row>
    <row r="60" spans="1:7" x14ac:dyDescent="0.25">
      <c r="A60" s="25">
        <v>2023</v>
      </c>
      <c r="B60" s="25" t="s">
        <v>31</v>
      </c>
      <c r="C60" s="16">
        <f t="shared" si="2"/>
        <v>2.4065505952612351E-2</v>
      </c>
      <c r="D60" s="16">
        <f t="shared" si="2"/>
        <v>4.5480386583284984E-3</v>
      </c>
      <c r="E60" s="16">
        <f t="shared" si="2"/>
        <v>0</v>
      </c>
      <c r="F60" s="16">
        <f t="shared" si="2"/>
        <v>6.6261733848703317E-3</v>
      </c>
      <c r="G60" s="16">
        <f t="shared" si="2"/>
        <v>1.2239902080782657E-3</v>
      </c>
    </row>
    <row r="61" spans="1:7" x14ac:dyDescent="0.25">
      <c r="A61" s="25">
        <v>2023</v>
      </c>
      <c r="B61" s="25" t="s">
        <v>35</v>
      </c>
      <c r="C61" s="16">
        <f t="shared" si="2"/>
        <v>6.7277275012187646E-3</v>
      </c>
      <c r="D61" s="16">
        <f t="shared" si="2"/>
        <v>1.6977928692700134E-3</v>
      </c>
      <c r="E61" s="16">
        <f t="shared" si="2"/>
        <v>5.4945054945051823E-4</v>
      </c>
      <c r="F61" s="16">
        <f t="shared" si="2"/>
        <v>1.1519473395501889E-2</v>
      </c>
      <c r="G61" s="16">
        <f t="shared" si="2"/>
        <v>3.6674816625916523E-3</v>
      </c>
    </row>
    <row r="62" spans="1:7" x14ac:dyDescent="0.25">
      <c r="A62" s="25">
        <v>2023</v>
      </c>
      <c r="B62" s="25" t="s">
        <v>36</v>
      </c>
      <c r="C62" s="16">
        <f t="shared" si="2"/>
        <v>-5.0700031226476455E-2</v>
      </c>
      <c r="D62" s="16">
        <f t="shared" si="2"/>
        <v>0</v>
      </c>
      <c r="E62" s="16">
        <f t="shared" si="2"/>
        <v>-1.0982976386600144E-3</v>
      </c>
      <c r="F62" s="16">
        <f t="shared" si="2"/>
        <v>0</v>
      </c>
      <c r="G62" s="16">
        <f t="shared" si="2"/>
        <v>0</v>
      </c>
    </row>
    <row r="63" spans="1:7" x14ac:dyDescent="0.25">
      <c r="A63" s="25">
        <v>2023</v>
      </c>
      <c r="B63" s="25" t="s">
        <v>37</v>
      </c>
      <c r="C63" s="16">
        <f t="shared" si="2"/>
        <v>7.4771567957539559E-2</v>
      </c>
      <c r="D63" s="16">
        <f t="shared" si="2"/>
        <v>5.0847457627118961E-3</v>
      </c>
      <c r="E63" s="16">
        <f t="shared" si="2"/>
        <v>-1.0995052226499013E-3</v>
      </c>
      <c r="F63" s="16">
        <f t="shared" si="2"/>
        <v>3.2537960954446546E-3</v>
      </c>
      <c r="G63" s="16">
        <f t="shared" si="2"/>
        <v>1.8270401948843567E-3</v>
      </c>
    </row>
    <row r="64" spans="1:7" x14ac:dyDescent="0.25">
      <c r="A64" s="25">
        <v>2023</v>
      </c>
      <c r="B64" s="25" t="s">
        <v>38</v>
      </c>
      <c r="C64" s="16">
        <f t="shared" si="2"/>
        <v>-9.7718169626949611E-2</v>
      </c>
      <c r="D64" s="16">
        <f t="shared" si="2"/>
        <v>6.7453625632377095E-3</v>
      </c>
      <c r="E64" s="16">
        <f t="shared" si="2"/>
        <v>6.0539350577876877E-3</v>
      </c>
      <c r="F64" s="16">
        <f t="shared" si="2"/>
        <v>3.7837837837837222E-3</v>
      </c>
      <c r="G64" s="16">
        <f t="shared" si="2"/>
        <v>1.8237082066869992E-3</v>
      </c>
    </row>
    <row r="67" spans="1:12" ht="15.75" x14ac:dyDescent="0.25">
      <c r="A67" s="29" t="s">
        <v>71</v>
      </c>
      <c r="B67" s="13"/>
      <c r="C67" s="13"/>
      <c r="D67" s="13"/>
      <c r="I67" s="13" t="s">
        <v>72</v>
      </c>
      <c r="J67" s="13"/>
    </row>
    <row r="69" spans="1:12" x14ac:dyDescent="0.25">
      <c r="A69" s="32" t="s">
        <v>1</v>
      </c>
      <c r="B69" s="32" t="s">
        <v>2</v>
      </c>
      <c r="C69" s="32" t="s">
        <v>68</v>
      </c>
      <c r="D69" s="32" t="s">
        <v>15</v>
      </c>
      <c r="I69" s="32" t="s">
        <v>1</v>
      </c>
      <c r="J69" s="32" t="s">
        <v>2</v>
      </c>
      <c r="K69" s="32" t="s">
        <v>68</v>
      </c>
      <c r="L69" s="32" t="s">
        <v>21</v>
      </c>
    </row>
    <row r="70" spans="1:12" x14ac:dyDescent="0.25">
      <c r="A70" s="28">
        <v>2021</v>
      </c>
      <c r="B70" s="28" t="s">
        <v>31</v>
      </c>
      <c r="C70" s="16">
        <v>0</v>
      </c>
      <c r="D70" s="16">
        <v>0</v>
      </c>
      <c r="I70" s="28">
        <v>2021</v>
      </c>
      <c r="J70" s="28" t="s">
        <v>31</v>
      </c>
      <c r="K70" s="16">
        <v>0</v>
      </c>
      <c r="L70" s="16">
        <v>0</v>
      </c>
    </row>
    <row r="71" spans="1:12" x14ac:dyDescent="0.25">
      <c r="A71" s="28">
        <v>2021</v>
      </c>
      <c r="B71" s="28" t="s">
        <v>35</v>
      </c>
      <c r="C71" s="16">
        <f t="shared" ref="C71:D98" si="3">(C3-C2)/C2</f>
        <v>0.12271089379772158</v>
      </c>
      <c r="D71" s="16">
        <f t="shared" si="3"/>
        <v>-2.5465838509316736E-2</v>
      </c>
      <c r="I71" s="28">
        <v>2021</v>
      </c>
      <c r="J71" s="28" t="s">
        <v>35</v>
      </c>
      <c r="K71" s="16">
        <f t="shared" ref="K71:K98" si="4">(C3-C2)/C2</f>
        <v>0.12271089379772158</v>
      </c>
      <c r="L71" s="16">
        <f t="shared" ref="L71:L98" si="5">(E3-E2)/E2</f>
        <v>3.0425963488843813E-2</v>
      </c>
    </row>
    <row r="72" spans="1:12" x14ac:dyDescent="0.25">
      <c r="A72" s="28">
        <v>2021</v>
      </c>
      <c r="B72" s="28" t="s">
        <v>36</v>
      </c>
      <c r="C72" s="16">
        <f t="shared" si="3"/>
        <v>5.6132526861556398E-2</v>
      </c>
      <c r="D72" s="16">
        <f t="shared" si="3"/>
        <v>-1.2746972594010009E-3</v>
      </c>
      <c r="I72" s="28">
        <v>2021</v>
      </c>
      <c r="J72" s="28" t="s">
        <v>36</v>
      </c>
      <c r="K72" s="16">
        <f t="shared" si="4"/>
        <v>5.6132526861556398E-2</v>
      </c>
      <c r="L72" s="16">
        <f t="shared" si="5"/>
        <v>2.0341207349081326E-2</v>
      </c>
    </row>
    <row r="73" spans="1:12" x14ac:dyDescent="0.25">
      <c r="A73" s="28">
        <v>2021</v>
      </c>
      <c r="B73" s="28" t="s">
        <v>37</v>
      </c>
      <c r="C73" s="16">
        <f t="shared" si="3"/>
        <v>8.2387072891469144E-3</v>
      </c>
      <c r="D73" s="16">
        <f t="shared" si="3"/>
        <v>8.2961072112317253E-3</v>
      </c>
      <c r="I73" s="28">
        <v>2021</v>
      </c>
      <c r="J73" s="28" t="s">
        <v>37</v>
      </c>
      <c r="K73" s="16">
        <f t="shared" si="4"/>
        <v>8.2387072891469144E-3</v>
      </c>
      <c r="L73" s="16">
        <f t="shared" si="5"/>
        <v>6.4308681672022071E-4</v>
      </c>
    </row>
    <row r="74" spans="1:12" x14ac:dyDescent="0.25">
      <c r="A74" s="28">
        <v>2021</v>
      </c>
      <c r="B74" s="28" t="s">
        <v>38</v>
      </c>
      <c r="C74" s="16">
        <f t="shared" si="3"/>
        <v>3.9776802486423554E-2</v>
      </c>
      <c r="D74" s="16">
        <f t="shared" si="3"/>
        <v>1.7088607594936637E-2</v>
      </c>
      <c r="I74" s="28">
        <v>2021</v>
      </c>
      <c r="J74" s="28" t="s">
        <v>38</v>
      </c>
      <c r="K74" s="16">
        <f t="shared" si="4"/>
        <v>3.9776802486423554E-2</v>
      </c>
      <c r="L74" s="16">
        <f t="shared" si="5"/>
        <v>2.4421593830334265E-2</v>
      </c>
    </row>
    <row r="75" spans="1:12" x14ac:dyDescent="0.25">
      <c r="A75" s="28">
        <v>2021</v>
      </c>
      <c r="B75" s="28" t="s">
        <v>39</v>
      </c>
      <c r="C75" s="16">
        <f t="shared" si="3"/>
        <v>8.4274622355255013E-2</v>
      </c>
      <c r="D75" s="16">
        <f t="shared" si="3"/>
        <v>1.1823273179838244E-2</v>
      </c>
      <c r="I75" s="28">
        <v>2021</v>
      </c>
      <c r="J75" s="28" t="s">
        <v>39</v>
      </c>
      <c r="K75" s="16">
        <f t="shared" si="4"/>
        <v>8.4274622355255013E-2</v>
      </c>
      <c r="L75" s="16">
        <f t="shared" si="5"/>
        <v>2.5094102885822186E-3</v>
      </c>
    </row>
    <row r="76" spans="1:12" x14ac:dyDescent="0.25">
      <c r="A76" s="28">
        <v>2021</v>
      </c>
      <c r="B76" s="28" t="s">
        <v>40</v>
      </c>
      <c r="C76" s="16">
        <f t="shared" si="3"/>
        <v>3.3971538280936422E-2</v>
      </c>
      <c r="D76" s="16">
        <f t="shared" si="3"/>
        <v>8.6100861008610446E-3</v>
      </c>
      <c r="I76" s="28">
        <v>2021</v>
      </c>
      <c r="J76" s="28" t="s">
        <v>40</v>
      </c>
      <c r="K76" s="16">
        <f t="shared" si="4"/>
        <v>3.3971538280936422E-2</v>
      </c>
      <c r="L76" s="16">
        <f t="shared" si="5"/>
        <v>5.6320400500624356E-3</v>
      </c>
    </row>
    <row r="77" spans="1:12" x14ac:dyDescent="0.25">
      <c r="A77" s="28">
        <v>2021</v>
      </c>
      <c r="B77" s="28" t="s">
        <v>41</v>
      </c>
      <c r="C77" s="16">
        <f t="shared" si="3"/>
        <v>-6.448936988408506E-2</v>
      </c>
      <c r="D77" s="16">
        <f t="shared" si="3"/>
        <v>0</v>
      </c>
      <c r="I77" s="28">
        <v>2021</v>
      </c>
      <c r="J77" s="28" t="s">
        <v>41</v>
      </c>
      <c r="K77" s="16">
        <f t="shared" si="4"/>
        <v>-6.448936988408506E-2</v>
      </c>
      <c r="L77" s="16">
        <f t="shared" si="5"/>
        <v>1.1823273179838244E-2</v>
      </c>
    </row>
    <row r="78" spans="1:12" x14ac:dyDescent="0.25">
      <c r="A78" s="28">
        <v>2021</v>
      </c>
      <c r="B78" s="28" t="s">
        <v>42</v>
      </c>
      <c r="C78" s="16">
        <f t="shared" si="3"/>
        <v>4.9021968277830404E-2</v>
      </c>
      <c r="D78" s="16">
        <f t="shared" si="3"/>
        <v>0</v>
      </c>
      <c r="I78" s="28">
        <v>2021</v>
      </c>
      <c r="J78" s="28" t="s">
        <v>42</v>
      </c>
      <c r="K78" s="16">
        <f t="shared" si="4"/>
        <v>4.9021968277830404E-2</v>
      </c>
      <c r="L78" s="16">
        <f t="shared" si="5"/>
        <v>0</v>
      </c>
    </row>
    <row r="79" spans="1:12" x14ac:dyDescent="0.25">
      <c r="A79" s="28">
        <v>2021</v>
      </c>
      <c r="B79" s="28" t="s">
        <v>43</v>
      </c>
      <c r="C79" s="16">
        <f t="shared" si="3"/>
        <v>0.14692760259517795</v>
      </c>
      <c r="D79" s="16">
        <f t="shared" si="3"/>
        <v>2.2560975609756027E-2</v>
      </c>
      <c r="I79" s="28">
        <v>2021</v>
      </c>
      <c r="J79" s="28" t="s">
        <v>43</v>
      </c>
      <c r="K79" s="16">
        <f t="shared" si="4"/>
        <v>0.14692760259517795</v>
      </c>
      <c r="L79" s="16">
        <f t="shared" si="5"/>
        <v>9.8400984009839754E-3</v>
      </c>
    </row>
    <row r="80" spans="1:12" x14ac:dyDescent="0.25">
      <c r="A80" s="28">
        <v>2021</v>
      </c>
      <c r="B80" s="28" t="s">
        <v>45</v>
      </c>
      <c r="C80" s="16">
        <f t="shared" si="3"/>
        <v>-3.1544371016077287E-2</v>
      </c>
      <c r="D80" s="16">
        <f t="shared" si="3"/>
        <v>1.1926058437686345E-2</v>
      </c>
      <c r="I80" s="28">
        <v>2021</v>
      </c>
      <c r="J80" s="28" t="s">
        <v>45</v>
      </c>
      <c r="K80" s="16">
        <f t="shared" si="4"/>
        <v>-3.1544371016077287E-2</v>
      </c>
      <c r="L80" s="16">
        <f t="shared" si="5"/>
        <v>-1.8270401948841837E-3</v>
      </c>
    </row>
    <row r="81" spans="1:12" x14ac:dyDescent="0.25">
      <c r="A81" s="28">
        <v>2021</v>
      </c>
      <c r="B81" s="28" t="s">
        <v>46</v>
      </c>
      <c r="C81" s="16">
        <f t="shared" si="3"/>
        <v>-7.5283611274902518E-2</v>
      </c>
      <c r="D81" s="16">
        <f t="shared" si="3"/>
        <v>-8.8391278727165592E-3</v>
      </c>
      <c r="I81" s="28">
        <v>2021</v>
      </c>
      <c r="J81" s="28" t="s">
        <v>46</v>
      </c>
      <c r="K81" s="16">
        <f t="shared" si="4"/>
        <v>-7.5283611274902518E-2</v>
      </c>
      <c r="L81" s="16">
        <f t="shared" si="5"/>
        <v>1.2202562538132314E-3</v>
      </c>
    </row>
    <row r="82" spans="1:12" x14ac:dyDescent="0.25">
      <c r="A82" s="28">
        <v>2022</v>
      </c>
      <c r="B82" s="28" t="s">
        <v>31</v>
      </c>
      <c r="C82" s="16">
        <f t="shared" si="3"/>
        <v>0.13500831130610128</v>
      </c>
      <c r="D82" s="16">
        <f t="shared" si="3"/>
        <v>-1.070154577883462E-2</v>
      </c>
      <c r="I82" s="28">
        <v>2022</v>
      </c>
      <c r="J82" s="28" t="s">
        <v>31</v>
      </c>
      <c r="K82" s="16">
        <f t="shared" si="4"/>
        <v>0.13500831130610128</v>
      </c>
      <c r="L82" s="16">
        <f t="shared" si="5"/>
        <v>6.0938452163311586E-4</v>
      </c>
    </row>
    <row r="83" spans="1:12" x14ac:dyDescent="0.25">
      <c r="A83" s="28">
        <v>2022</v>
      </c>
      <c r="B83" s="28" t="s">
        <v>35</v>
      </c>
      <c r="C83" s="16">
        <f t="shared" si="3"/>
        <v>0.12337320394192434</v>
      </c>
      <c r="D83" s="16">
        <f t="shared" si="3"/>
        <v>-1.2019230769231793E-3</v>
      </c>
      <c r="I83" s="28">
        <v>2022</v>
      </c>
      <c r="J83" s="28" t="s">
        <v>35</v>
      </c>
      <c r="K83" s="16">
        <f t="shared" si="4"/>
        <v>0.12337320394192434</v>
      </c>
      <c r="L83" s="16">
        <f t="shared" si="5"/>
        <v>9.1352009744214372E-3</v>
      </c>
    </row>
    <row r="84" spans="1:12" x14ac:dyDescent="0.25">
      <c r="A84" s="28">
        <v>2022</v>
      </c>
      <c r="B84" s="28" t="s">
        <v>36</v>
      </c>
      <c r="C84" s="16">
        <f t="shared" si="3"/>
        <v>0.22103979334645088</v>
      </c>
      <c r="D84" s="16">
        <f t="shared" si="3"/>
        <v>1.3237063778580128E-2</v>
      </c>
      <c r="I84" s="28">
        <v>2022</v>
      </c>
      <c r="J84" s="28" t="s">
        <v>36</v>
      </c>
      <c r="K84" s="16">
        <f t="shared" si="4"/>
        <v>0.22103979334645088</v>
      </c>
      <c r="L84" s="16">
        <f t="shared" si="5"/>
        <v>9.0525045262522634E-3</v>
      </c>
    </row>
    <row r="85" spans="1:12" x14ac:dyDescent="0.25">
      <c r="A85" s="28">
        <v>2022</v>
      </c>
      <c r="B85" s="28" t="s">
        <v>37</v>
      </c>
      <c r="C85" s="16">
        <f t="shared" si="3"/>
        <v>-8.0738586771343268E-2</v>
      </c>
      <c r="D85" s="16">
        <f t="shared" si="3"/>
        <v>1.4251781472684119E-2</v>
      </c>
      <c r="I85" s="28">
        <v>2022</v>
      </c>
      <c r="J85" s="28" t="s">
        <v>37</v>
      </c>
      <c r="K85" s="16">
        <f t="shared" si="4"/>
        <v>-8.0738586771343268E-2</v>
      </c>
      <c r="L85" s="16">
        <f t="shared" si="5"/>
        <v>2.9904306220095697E-2</v>
      </c>
    </row>
    <row r="86" spans="1:12" x14ac:dyDescent="0.25">
      <c r="A86" s="28">
        <v>2022</v>
      </c>
      <c r="B86" s="28" t="s">
        <v>38</v>
      </c>
      <c r="C86" s="16">
        <f t="shared" si="3"/>
        <v>8.0449761105666914E-2</v>
      </c>
      <c r="D86" s="16">
        <f t="shared" si="3"/>
        <v>1.4637002341920374E-2</v>
      </c>
      <c r="I86" s="28">
        <v>2022</v>
      </c>
      <c r="J86" s="28" t="s">
        <v>38</v>
      </c>
      <c r="K86" s="16">
        <f t="shared" si="4"/>
        <v>8.0449761105666914E-2</v>
      </c>
      <c r="L86" s="16">
        <f t="shared" si="5"/>
        <v>1.3937282229965191E-2</v>
      </c>
    </row>
    <row r="87" spans="1:12" x14ac:dyDescent="0.25">
      <c r="A87" s="28">
        <v>2022</v>
      </c>
      <c r="B87" s="28" t="s">
        <v>39</v>
      </c>
      <c r="C87" s="16">
        <f t="shared" si="3"/>
        <v>7.1408431178583878E-2</v>
      </c>
      <c r="D87" s="16">
        <f t="shared" si="3"/>
        <v>9.2325447201384546E-3</v>
      </c>
      <c r="I87" s="28">
        <v>2022</v>
      </c>
      <c r="J87" s="28" t="s">
        <v>39</v>
      </c>
      <c r="K87" s="16">
        <f t="shared" si="4"/>
        <v>7.1408431178583878E-2</v>
      </c>
      <c r="L87" s="16">
        <f t="shared" si="5"/>
        <v>8.0183276059565042E-3</v>
      </c>
    </row>
    <row r="88" spans="1:12" x14ac:dyDescent="0.25">
      <c r="A88" s="28">
        <v>2022</v>
      </c>
      <c r="B88" s="28" t="s">
        <v>40</v>
      </c>
      <c r="C88" s="16">
        <f t="shared" si="3"/>
        <v>-8.2587408369930518E-2</v>
      </c>
      <c r="D88" s="16">
        <f t="shared" si="3"/>
        <v>5.7175528873638828E-4</v>
      </c>
      <c r="I88" s="28">
        <v>2022</v>
      </c>
      <c r="J88" s="28" t="s">
        <v>40</v>
      </c>
      <c r="K88" s="16">
        <f t="shared" si="4"/>
        <v>-8.2587408369930518E-2</v>
      </c>
      <c r="L88" s="16">
        <f t="shared" si="5"/>
        <v>2.0454545454545423E-2</v>
      </c>
    </row>
    <row r="89" spans="1:12" x14ac:dyDescent="0.25">
      <c r="A89" s="28">
        <v>2022</v>
      </c>
      <c r="B89" s="28" t="s">
        <v>41</v>
      </c>
      <c r="C89" s="16">
        <f t="shared" si="3"/>
        <v>-8.7431974842195961E-2</v>
      </c>
      <c r="D89" s="16">
        <f t="shared" si="3"/>
        <v>7.4285714285714935E-3</v>
      </c>
      <c r="I89" s="28">
        <v>2022</v>
      </c>
      <c r="J89" s="28" t="s">
        <v>41</v>
      </c>
      <c r="K89" s="16">
        <f t="shared" si="4"/>
        <v>-8.7431974842195961E-2</v>
      </c>
      <c r="L89" s="16">
        <f t="shared" si="5"/>
        <v>-4.4543429844097048E-3</v>
      </c>
    </row>
    <row r="90" spans="1:12" x14ac:dyDescent="0.25">
      <c r="A90" s="28">
        <v>2022</v>
      </c>
      <c r="B90" s="28" t="s">
        <v>42</v>
      </c>
      <c r="C90" s="16">
        <f t="shared" si="3"/>
        <v>-7.2751444026771778E-2</v>
      </c>
      <c r="D90" s="16">
        <f t="shared" si="3"/>
        <v>8.5082246171298923E-3</v>
      </c>
      <c r="I90" s="28">
        <v>2022</v>
      </c>
      <c r="J90" s="28" t="s">
        <v>42</v>
      </c>
      <c r="K90" s="16">
        <f t="shared" si="4"/>
        <v>-7.2751444026771778E-2</v>
      </c>
      <c r="L90" s="16">
        <f t="shared" si="5"/>
        <v>3.9149888143176093E-3</v>
      </c>
    </row>
    <row r="91" spans="1:12" x14ac:dyDescent="0.25">
      <c r="A91" s="28">
        <v>2022</v>
      </c>
      <c r="B91" s="28" t="s">
        <v>43</v>
      </c>
      <c r="C91" s="16">
        <f t="shared" si="3"/>
        <v>5.0523698874912641E-2</v>
      </c>
      <c r="D91" s="16">
        <f t="shared" si="3"/>
        <v>1.0123734533183255E-2</v>
      </c>
      <c r="I91" s="28">
        <v>2022</v>
      </c>
      <c r="J91" s="28" t="s">
        <v>43</v>
      </c>
      <c r="K91" s="16">
        <f t="shared" si="4"/>
        <v>5.0523698874912641E-2</v>
      </c>
      <c r="L91" s="16">
        <f t="shared" si="5"/>
        <v>5.5710306406685237E-3</v>
      </c>
    </row>
    <row r="92" spans="1:12" x14ac:dyDescent="0.25">
      <c r="A92" s="28">
        <v>2022</v>
      </c>
      <c r="B92" s="28" t="s">
        <v>45</v>
      </c>
      <c r="C92" s="16">
        <f t="shared" si="3"/>
        <v>-3.8592844282673615E-2</v>
      </c>
      <c r="D92" s="16">
        <f t="shared" si="3"/>
        <v>-7.2383073496658295E-3</v>
      </c>
      <c r="I92" s="28">
        <v>2022</v>
      </c>
      <c r="J92" s="28" t="s">
        <v>45</v>
      </c>
      <c r="K92" s="16">
        <f t="shared" si="4"/>
        <v>-3.8592844282673615E-2</v>
      </c>
      <c r="L92" s="16">
        <f t="shared" si="5"/>
        <v>4.4321329639889825E-3</v>
      </c>
    </row>
    <row r="93" spans="1:12" x14ac:dyDescent="0.25">
      <c r="A93" s="28">
        <v>2022</v>
      </c>
      <c r="B93" s="28" t="s">
        <v>46</v>
      </c>
      <c r="C93" s="16">
        <f t="shared" si="3"/>
        <v>-0.10072012878123551</v>
      </c>
      <c r="D93" s="16">
        <f t="shared" si="3"/>
        <v>-1.3460459899046581E-2</v>
      </c>
      <c r="I93" s="28">
        <v>2022</v>
      </c>
      <c r="J93" s="28" t="s">
        <v>46</v>
      </c>
      <c r="K93" s="16">
        <f t="shared" si="4"/>
        <v>-0.10072012878123551</v>
      </c>
      <c r="L93" s="16">
        <f t="shared" si="5"/>
        <v>3.8610038610037982E-3</v>
      </c>
    </row>
    <row r="94" spans="1:12" x14ac:dyDescent="0.25">
      <c r="A94" s="28">
        <v>2023</v>
      </c>
      <c r="B94" s="28" t="s">
        <v>31</v>
      </c>
      <c r="C94" s="16">
        <f t="shared" si="3"/>
        <v>2.4065505952612351E-2</v>
      </c>
      <c r="D94" s="16">
        <f t="shared" si="3"/>
        <v>4.5480386583284984E-3</v>
      </c>
      <c r="I94" s="28">
        <v>2023</v>
      </c>
      <c r="J94" s="28" t="s">
        <v>31</v>
      </c>
      <c r="K94" s="16">
        <f t="shared" si="4"/>
        <v>2.4065505952612351E-2</v>
      </c>
      <c r="L94" s="16">
        <f t="shared" si="5"/>
        <v>0</v>
      </c>
    </row>
    <row r="95" spans="1:12" x14ac:dyDescent="0.25">
      <c r="A95" s="28">
        <v>2023</v>
      </c>
      <c r="B95" s="28" t="s">
        <v>35</v>
      </c>
      <c r="C95" s="16">
        <f t="shared" si="3"/>
        <v>6.7277275012187646E-3</v>
      </c>
      <c r="D95" s="16">
        <f t="shared" si="3"/>
        <v>1.6977928692700134E-3</v>
      </c>
      <c r="I95" s="28">
        <v>2023</v>
      </c>
      <c r="J95" s="28" t="s">
        <v>35</v>
      </c>
      <c r="K95" s="16">
        <f t="shared" si="4"/>
        <v>6.7277275012187646E-3</v>
      </c>
      <c r="L95" s="16">
        <f t="shared" si="5"/>
        <v>5.4945054945051823E-4</v>
      </c>
    </row>
    <row r="96" spans="1:12" x14ac:dyDescent="0.25">
      <c r="A96" s="28">
        <v>2023</v>
      </c>
      <c r="B96" s="28" t="s">
        <v>36</v>
      </c>
      <c r="C96" s="16">
        <f t="shared" si="3"/>
        <v>-5.0700031226476455E-2</v>
      </c>
      <c r="D96" s="16">
        <f t="shared" si="3"/>
        <v>0</v>
      </c>
      <c r="I96" s="28">
        <v>2023</v>
      </c>
      <c r="J96" s="28" t="s">
        <v>36</v>
      </c>
      <c r="K96" s="16">
        <f t="shared" si="4"/>
        <v>-5.0700031226476455E-2</v>
      </c>
      <c r="L96" s="16">
        <f t="shared" si="5"/>
        <v>-1.0982976386600144E-3</v>
      </c>
    </row>
    <row r="97" spans="1:14" x14ac:dyDescent="0.25">
      <c r="A97" s="28">
        <v>2023</v>
      </c>
      <c r="B97" s="28" t="s">
        <v>37</v>
      </c>
      <c r="C97" s="16">
        <f t="shared" si="3"/>
        <v>7.4771567957539559E-2</v>
      </c>
      <c r="D97" s="16">
        <f t="shared" si="3"/>
        <v>5.0847457627118961E-3</v>
      </c>
      <c r="I97" s="28">
        <v>2023</v>
      </c>
      <c r="J97" s="28" t="s">
        <v>37</v>
      </c>
      <c r="K97" s="16">
        <f t="shared" si="4"/>
        <v>7.4771567957539559E-2</v>
      </c>
      <c r="L97" s="16">
        <f t="shared" si="5"/>
        <v>-1.0995052226499013E-3</v>
      </c>
    </row>
    <row r="98" spans="1:14" x14ac:dyDescent="0.25">
      <c r="A98" s="28">
        <v>2023</v>
      </c>
      <c r="B98" s="28" t="s">
        <v>38</v>
      </c>
      <c r="C98" s="16">
        <f t="shared" si="3"/>
        <v>-9.7718169626949611E-2</v>
      </c>
      <c r="D98" s="16">
        <f t="shared" si="3"/>
        <v>6.7453625632377095E-3</v>
      </c>
      <c r="I98" s="28">
        <v>2023</v>
      </c>
      <c r="J98" s="28" t="s">
        <v>38</v>
      </c>
      <c r="K98" s="16">
        <f t="shared" si="4"/>
        <v>-9.7718169626949611E-2</v>
      </c>
      <c r="L98" s="16">
        <f t="shared" si="5"/>
        <v>6.0539350577876877E-3</v>
      </c>
    </row>
    <row r="100" spans="1:14" ht="15.75" x14ac:dyDescent="0.25">
      <c r="B100" s="13" t="s">
        <v>73</v>
      </c>
      <c r="C100" s="13"/>
      <c r="D100" s="13"/>
      <c r="I100" s="13" t="s">
        <v>74</v>
      </c>
      <c r="J100" s="13"/>
      <c r="K100" s="13"/>
    </row>
    <row r="102" spans="1:14" x14ac:dyDescent="0.25">
      <c r="A102" s="32" t="s">
        <v>1</v>
      </c>
      <c r="B102" s="32" t="s">
        <v>2</v>
      </c>
      <c r="C102" s="32" t="s">
        <v>68</v>
      </c>
      <c r="D102" s="32" t="s">
        <v>23</v>
      </c>
      <c r="I102" s="32" t="s">
        <v>1</v>
      </c>
      <c r="J102" s="32" t="s">
        <v>2</v>
      </c>
      <c r="K102" s="32" t="s">
        <v>68</v>
      </c>
      <c r="L102" s="35" t="s">
        <v>70</v>
      </c>
      <c r="M102" s="36"/>
      <c r="N102" s="36"/>
    </row>
    <row r="103" spans="1:14" x14ac:dyDescent="0.25">
      <c r="A103" s="28">
        <v>2021</v>
      </c>
      <c r="B103" s="28" t="s">
        <v>31</v>
      </c>
      <c r="C103" s="16">
        <v>0</v>
      </c>
      <c r="D103" s="16">
        <v>0</v>
      </c>
      <c r="I103" s="28">
        <v>2021</v>
      </c>
      <c r="J103" s="28" t="s">
        <v>31</v>
      </c>
      <c r="K103" s="16">
        <v>0</v>
      </c>
      <c r="L103" s="16">
        <v>0</v>
      </c>
    </row>
    <row r="104" spans="1:14" x14ac:dyDescent="0.25">
      <c r="A104" s="28">
        <v>2021</v>
      </c>
      <c r="B104" s="28" t="s">
        <v>35</v>
      </c>
      <c r="C104" s="16">
        <f t="shared" ref="C104:C131" si="6">(C3-C2)/C2</f>
        <v>0.12271089379772158</v>
      </c>
      <c r="D104" s="16">
        <f t="shared" ref="D104:D131" si="7">(F3-F2)/F2</f>
        <v>1.2554927809165096E-2</v>
      </c>
      <c r="I104" s="28">
        <v>2021</v>
      </c>
      <c r="J104" s="28" t="s">
        <v>35</v>
      </c>
      <c r="K104" s="16">
        <f t="shared" ref="K104:K131" si="8">(C3-C2)/C2</f>
        <v>0.12271089379772158</v>
      </c>
      <c r="L104" s="16">
        <f t="shared" ref="L104:L131" si="9">(G3-G2)/G2</f>
        <v>2.2551092318534097E-2</v>
      </c>
    </row>
    <row r="105" spans="1:14" x14ac:dyDescent="0.25">
      <c r="A105" s="28">
        <v>2021</v>
      </c>
      <c r="B105" s="28" t="s">
        <v>36</v>
      </c>
      <c r="C105" s="16">
        <f t="shared" si="6"/>
        <v>5.6132526861556398E-2</v>
      </c>
      <c r="D105" s="16">
        <f t="shared" si="7"/>
        <v>2.4798512089273233E-3</v>
      </c>
      <c r="I105" s="28">
        <v>2021</v>
      </c>
      <c r="J105" s="28" t="s">
        <v>36</v>
      </c>
      <c r="K105" s="16">
        <f t="shared" si="8"/>
        <v>5.6132526861556398E-2</v>
      </c>
      <c r="L105" s="16">
        <f t="shared" si="9"/>
        <v>7.5809786354238068E-3</v>
      </c>
    </row>
    <row r="106" spans="1:14" x14ac:dyDescent="0.25">
      <c r="A106" s="28">
        <v>2021</v>
      </c>
      <c r="B106" s="28" t="s">
        <v>37</v>
      </c>
      <c r="C106" s="16">
        <f t="shared" si="6"/>
        <v>8.2387072891469144E-3</v>
      </c>
      <c r="D106" s="16">
        <f t="shared" si="7"/>
        <v>3.7105751391467087E-3</v>
      </c>
      <c r="I106" s="28">
        <v>2021</v>
      </c>
      <c r="J106" s="28" t="s">
        <v>37</v>
      </c>
      <c r="K106" s="16">
        <f t="shared" si="8"/>
        <v>8.2387072891469144E-3</v>
      </c>
      <c r="L106" s="16">
        <f t="shared" si="9"/>
        <v>2.7359781121751416E-3</v>
      </c>
    </row>
    <row r="107" spans="1:14" x14ac:dyDescent="0.25">
      <c r="A107" s="28">
        <v>2021</v>
      </c>
      <c r="B107" s="28" t="s">
        <v>38</v>
      </c>
      <c r="C107" s="16">
        <f t="shared" si="6"/>
        <v>3.9776802486423554E-2</v>
      </c>
      <c r="D107" s="16">
        <f t="shared" si="7"/>
        <v>2.1565003080714726E-2</v>
      </c>
      <c r="I107" s="28">
        <v>2021</v>
      </c>
      <c r="J107" s="28" t="s">
        <v>38</v>
      </c>
      <c r="K107" s="16">
        <f t="shared" si="8"/>
        <v>3.9776802486423554E-2</v>
      </c>
      <c r="L107" s="16">
        <f t="shared" si="9"/>
        <v>1.568894952251031E-2</v>
      </c>
    </row>
    <row r="108" spans="1:14" x14ac:dyDescent="0.25">
      <c r="A108" s="28">
        <v>2021</v>
      </c>
      <c r="B108" s="28" t="s">
        <v>39</v>
      </c>
      <c r="C108" s="16">
        <f t="shared" si="6"/>
        <v>8.4274622355255013E-2</v>
      </c>
      <c r="D108" s="16">
        <f t="shared" si="7"/>
        <v>3.0156815440289505E-3</v>
      </c>
      <c r="I108" s="28">
        <v>2021</v>
      </c>
      <c r="J108" s="28" t="s">
        <v>39</v>
      </c>
      <c r="K108" s="16">
        <f t="shared" si="8"/>
        <v>8.4274622355255013E-2</v>
      </c>
      <c r="L108" s="16">
        <f t="shared" si="9"/>
        <v>1.2088650100738636E-2</v>
      </c>
    </row>
    <row r="109" spans="1:14" x14ac:dyDescent="0.25">
      <c r="A109" s="28">
        <v>2021</v>
      </c>
      <c r="B109" s="28" t="s">
        <v>40</v>
      </c>
      <c r="C109" s="16">
        <f t="shared" si="6"/>
        <v>3.3971538280936422E-2</v>
      </c>
      <c r="D109" s="16">
        <f t="shared" si="7"/>
        <v>4.2092603728201361E-3</v>
      </c>
      <c r="I109" s="28">
        <v>2021</v>
      </c>
      <c r="J109" s="28" t="s">
        <v>40</v>
      </c>
      <c r="K109" s="16">
        <f t="shared" si="8"/>
        <v>3.3971538280936422E-2</v>
      </c>
      <c r="L109" s="16">
        <f t="shared" si="9"/>
        <v>1.5925680159256841E-2</v>
      </c>
    </row>
    <row r="110" spans="1:14" x14ac:dyDescent="0.25">
      <c r="A110" s="28">
        <v>2021</v>
      </c>
      <c r="B110" s="28" t="s">
        <v>41</v>
      </c>
      <c r="C110" s="16">
        <f t="shared" si="6"/>
        <v>-6.448936988408506E-2</v>
      </c>
      <c r="D110" s="16">
        <f t="shared" si="7"/>
        <v>8.3832335329341659E-3</v>
      </c>
      <c r="I110" s="28">
        <v>2021</v>
      </c>
      <c r="J110" s="28" t="s">
        <v>41</v>
      </c>
      <c r="K110" s="16">
        <f t="shared" si="8"/>
        <v>-6.448936988408506E-2</v>
      </c>
      <c r="L110" s="16">
        <f t="shared" si="9"/>
        <v>5.8785107772697954E-3</v>
      </c>
    </row>
    <row r="111" spans="1:14" x14ac:dyDescent="0.25">
      <c r="A111" s="28">
        <v>2021</v>
      </c>
      <c r="B111" s="28" t="s">
        <v>42</v>
      </c>
      <c r="C111" s="16">
        <f t="shared" si="6"/>
        <v>4.9021968277830404E-2</v>
      </c>
      <c r="D111" s="16">
        <f t="shared" si="7"/>
        <v>0</v>
      </c>
      <c r="I111" s="28">
        <v>2021</v>
      </c>
      <c r="J111" s="28" t="s">
        <v>42</v>
      </c>
      <c r="K111" s="16">
        <f t="shared" si="8"/>
        <v>4.9021968277830404E-2</v>
      </c>
      <c r="L111" s="16">
        <f t="shared" si="9"/>
        <v>0</v>
      </c>
    </row>
    <row r="112" spans="1:14" x14ac:dyDescent="0.25">
      <c r="A112" s="28">
        <v>2021</v>
      </c>
      <c r="B112" s="28" t="s">
        <v>43</v>
      </c>
      <c r="C112" s="16">
        <f t="shared" si="6"/>
        <v>0.14692760259517795</v>
      </c>
      <c r="D112" s="16">
        <f t="shared" si="7"/>
        <v>4.1567695961994573E-3</v>
      </c>
      <c r="I112" s="28">
        <v>2021</v>
      </c>
      <c r="J112" s="28" t="s">
        <v>43</v>
      </c>
      <c r="K112" s="16">
        <f t="shared" si="8"/>
        <v>0.14692760259517795</v>
      </c>
      <c r="L112" s="16">
        <f t="shared" si="9"/>
        <v>1.1038961038960965E-2</v>
      </c>
    </row>
    <row r="113" spans="1:12" x14ac:dyDescent="0.25">
      <c r="A113" s="28">
        <v>2021</v>
      </c>
      <c r="B113" s="28" t="s">
        <v>45</v>
      </c>
      <c r="C113" s="16">
        <f t="shared" si="6"/>
        <v>-3.1544371016077287E-2</v>
      </c>
      <c r="D113" s="16">
        <f t="shared" si="7"/>
        <v>4.730928444707341E-3</v>
      </c>
      <c r="I113" s="28">
        <v>2021</v>
      </c>
      <c r="J113" s="28" t="s">
        <v>45</v>
      </c>
      <c r="K113" s="16">
        <f t="shared" si="8"/>
        <v>-3.1544371016077287E-2</v>
      </c>
      <c r="L113" s="16">
        <f t="shared" si="9"/>
        <v>-5.7803468208091026E-3</v>
      </c>
    </row>
    <row r="114" spans="1:12" x14ac:dyDescent="0.25">
      <c r="A114" s="28">
        <v>2021</v>
      </c>
      <c r="B114" s="28" t="s">
        <v>46</v>
      </c>
      <c r="C114" s="16">
        <f t="shared" si="6"/>
        <v>-7.5283611274902518E-2</v>
      </c>
      <c r="D114" s="16">
        <f t="shared" si="7"/>
        <v>4.1200706297821578E-3</v>
      </c>
      <c r="I114" s="28">
        <v>2021</v>
      </c>
      <c r="J114" s="28" t="s">
        <v>46</v>
      </c>
      <c r="K114" s="16">
        <f t="shared" si="8"/>
        <v>-7.5283611274902518E-2</v>
      </c>
      <c r="L114" s="16">
        <f t="shared" si="9"/>
        <v>5.8139534883719455E-3</v>
      </c>
    </row>
    <row r="115" spans="1:12" x14ac:dyDescent="0.25">
      <c r="A115" s="28">
        <v>2022</v>
      </c>
      <c r="B115" s="28" t="s">
        <v>31</v>
      </c>
      <c r="C115" s="16">
        <f t="shared" si="6"/>
        <v>0.13500831130610128</v>
      </c>
      <c r="D115" s="16">
        <f t="shared" si="7"/>
        <v>4.6893317702228097E-3</v>
      </c>
      <c r="I115" s="28">
        <v>2022</v>
      </c>
      <c r="J115" s="28" t="s">
        <v>31</v>
      </c>
      <c r="K115" s="16">
        <f t="shared" si="8"/>
        <v>0.13500831130610128</v>
      </c>
      <c r="L115" s="16">
        <f t="shared" si="9"/>
        <v>5.1380860629416276E-3</v>
      </c>
    </row>
    <row r="116" spans="1:12" x14ac:dyDescent="0.25">
      <c r="A116" s="28">
        <v>2022</v>
      </c>
      <c r="B116" s="28" t="s">
        <v>35</v>
      </c>
      <c r="C116" s="16">
        <f t="shared" si="6"/>
        <v>0.12337320394192434</v>
      </c>
      <c r="D116" s="16">
        <f t="shared" si="7"/>
        <v>4.6674445740955833E-3</v>
      </c>
      <c r="I116" s="28">
        <v>2022</v>
      </c>
      <c r="J116" s="28" t="s">
        <v>35</v>
      </c>
      <c r="K116" s="16">
        <f t="shared" si="8"/>
        <v>0.12337320394192434</v>
      </c>
      <c r="L116" s="16">
        <f t="shared" si="9"/>
        <v>2.5559105431310269E-3</v>
      </c>
    </row>
    <row r="117" spans="1:12" x14ac:dyDescent="0.25">
      <c r="A117" s="28">
        <v>2022</v>
      </c>
      <c r="B117" s="28" t="s">
        <v>36</v>
      </c>
      <c r="C117" s="16">
        <f t="shared" si="6"/>
        <v>0.22103979334645088</v>
      </c>
      <c r="D117" s="16">
        <f t="shared" si="7"/>
        <v>4.6457607433217848E-3</v>
      </c>
      <c r="I117" s="28">
        <v>2022</v>
      </c>
      <c r="J117" s="28" t="s">
        <v>36</v>
      </c>
      <c r="K117" s="16">
        <f t="shared" si="8"/>
        <v>0.22103979334645088</v>
      </c>
      <c r="L117" s="16">
        <f t="shared" si="9"/>
        <v>6.3734862970044612E-3</v>
      </c>
    </row>
    <row r="118" spans="1:12" x14ac:dyDescent="0.25">
      <c r="A118" s="28">
        <v>2022</v>
      </c>
      <c r="B118" s="28" t="s">
        <v>37</v>
      </c>
      <c r="C118" s="16">
        <f t="shared" si="6"/>
        <v>-8.0738586771343268E-2</v>
      </c>
      <c r="D118" s="16">
        <f t="shared" si="7"/>
        <v>5.7803468208092483E-3</v>
      </c>
      <c r="I118" s="28">
        <v>2022</v>
      </c>
      <c r="J118" s="28" t="s">
        <v>37</v>
      </c>
      <c r="K118" s="16">
        <f t="shared" si="8"/>
        <v>-8.0738586771343268E-2</v>
      </c>
      <c r="L118" s="16">
        <f t="shared" si="9"/>
        <v>2.9765674477517344E-2</v>
      </c>
    </row>
    <row r="119" spans="1:12" x14ac:dyDescent="0.25">
      <c r="A119" s="28">
        <v>2022</v>
      </c>
      <c r="B119" s="28" t="s">
        <v>38</v>
      </c>
      <c r="C119" s="16">
        <f t="shared" si="6"/>
        <v>8.0449761105666914E-2</v>
      </c>
      <c r="D119" s="16">
        <f t="shared" si="7"/>
        <v>4.5977011494253523E-3</v>
      </c>
      <c r="I119" s="28">
        <v>2022</v>
      </c>
      <c r="J119" s="28" t="s">
        <v>38</v>
      </c>
      <c r="K119" s="16">
        <f t="shared" si="8"/>
        <v>8.0449761105666914E-2</v>
      </c>
      <c r="L119" s="16">
        <f t="shared" si="9"/>
        <v>2.4600246002460377E-3</v>
      </c>
    </row>
    <row r="120" spans="1:12" x14ac:dyDescent="0.25">
      <c r="A120" s="28">
        <v>2022</v>
      </c>
      <c r="B120" s="28" t="s">
        <v>39</v>
      </c>
      <c r="C120" s="16">
        <f t="shared" si="6"/>
        <v>7.1408431178583878E-2</v>
      </c>
      <c r="D120" s="16">
        <f t="shared" si="7"/>
        <v>3.4324942791761686E-3</v>
      </c>
      <c r="I120" s="28">
        <v>2022</v>
      </c>
      <c r="J120" s="28" t="s">
        <v>39</v>
      </c>
      <c r="K120" s="16">
        <f t="shared" si="8"/>
        <v>7.1408431178583878E-2</v>
      </c>
      <c r="L120" s="16">
        <f t="shared" si="9"/>
        <v>-1.1656441717791446E-2</v>
      </c>
    </row>
    <row r="121" spans="1:12" x14ac:dyDescent="0.25">
      <c r="A121" s="28">
        <v>2022</v>
      </c>
      <c r="B121" s="28" t="s">
        <v>40</v>
      </c>
      <c r="C121" s="16">
        <f t="shared" si="6"/>
        <v>-8.2587408369930518E-2</v>
      </c>
      <c r="D121" s="16">
        <f t="shared" si="7"/>
        <v>3.9908779931584299E-3</v>
      </c>
      <c r="I121" s="28">
        <v>2022</v>
      </c>
      <c r="J121" s="28" t="s">
        <v>40</v>
      </c>
      <c r="K121" s="16">
        <f t="shared" si="8"/>
        <v>-8.2587408369930518E-2</v>
      </c>
      <c r="L121" s="16">
        <f t="shared" si="9"/>
        <v>3.1036623215394167E-3</v>
      </c>
    </row>
    <row r="122" spans="1:12" x14ac:dyDescent="0.25">
      <c r="A122" s="28">
        <v>2022</v>
      </c>
      <c r="B122" s="28" t="s">
        <v>41</v>
      </c>
      <c r="C122" s="16">
        <f t="shared" si="6"/>
        <v>-8.7431974842195961E-2</v>
      </c>
      <c r="D122" s="16">
        <f t="shared" si="7"/>
        <v>3.9750141964793699E-3</v>
      </c>
      <c r="I122" s="28">
        <v>2022</v>
      </c>
      <c r="J122" s="28" t="s">
        <v>41</v>
      </c>
      <c r="K122" s="16">
        <f t="shared" si="8"/>
        <v>-8.7431974842195961E-2</v>
      </c>
      <c r="L122" s="16">
        <f t="shared" si="9"/>
        <v>1.8564356435644268E-3</v>
      </c>
    </row>
    <row r="123" spans="1:12" x14ac:dyDescent="0.25">
      <c r="A123" s="28">
        <v>2022</v>
      </c>
      <c r="B123" s="28" t="s">
        <v>42</v>
      </c>
      <c r="C123" s="16">
        <f t="shared" si="6"/>
        <v>-7.2751444026771778E-2</v>
      </c>
      <c r="D123" s="16">
        <f t="shared" si="7"/>
        <v>5.6561085972850677E-3</v>
      </c>
      <c r="I123" s="28">
        <v>2022</v>
      </c>
      <c r="J123" s="28" t="s">
        <v>42</v>
      </c>
      <c r="K123" s="16">
        <f t="shared" si="8"/>
        <v>-7.2751444026771778E-2</v>
      </c>
      <c r="L123" s="16">
        <f t="shared" si="9"/>
        <v>2.470660901791264E-3</v>
      </c>
    </row>
    <row r="124" spans="1:12" x14ac:dyDescent="0.25">
      <c r="A124" s="28">
        <v>2022</v>
      </c>
      <c r="B124" s="28" t="s">
        <v>43</v>
      </c>
      <c r="C124" s="16">
        <f t="shared" si="6"/>
        <v>5.0523698874912641E-2</v>
      </c>
      <c r="D124" s="16">
        <f t="shared" si="7"/>
        <v>5.0618672665915477E-3</v>
      </c>
      <c r="I124" s="28">
        <v>2022</v>
      </c>
      <c r="J124" s="28" t="s">
        <v>43</v>
      </c>
      <c r="K124" s="16">
        <f t="shared" si="8"/>
        <v>5.0523698874912641E-2</v>
      </c>
      <c r="L124" s="16">
        <f t="shared" si="9"/>
        <v>3.6968576709796321E-3</v>
      </c>
    </row>
    <row r="125" spans="1:12" x14ac:dyDescent="0.25">
      <c r="A125" s="28">
        <v>2022</v>
      </c>
      <c r="B125" s="28" t="s">
        <v>45</v>
      </c>
      <c r="C125" s="16">
        <f t="shared" si="6"/>
        <v>-3.8592844282673615E-2</v>
      </c>
      <c r="D125" s="16">
        <f t="shared" si="7"/>
        <v>6.1555679910465745E-3</v>
      </c>
      <c r="I125" s="28">
        <v>2022</v>
      </c>
      <c r="J125" s="28" t="s">
        <v>45</v>
      </c>
      <c r="K125" s="16">
        <f t="shared" si="8"/>
        <v>-3.8592844282673615E-2</v>
      </c>
      <c r="L125" s="16">
        <f t="shared" si="9"/>
        <v>6.1387354205030267E-4</v>
      </c>
    </row>
    <row r="126" spans="1:12" x14ac:dyDescent="0.25">
      <c r="A126" s="28">
        <v>2022</v>
      </c>
      <c r="B126" s="28" t="s">
        <v>46</v>
      </c>
      <c r="C126" s="16">
        <f t="shared" si="6"/>
        <v>-0.10072012878123551</v>
      </c>
      <c r="D126" s="16">
        <f t="shared" si="7"/>
        <v>7.2302558398219295E-3</v>
      </c>
      <c r="I126" s="28">
        <v>2022</v>
      </c>
      <c r="J126" s="28" t="s">
        <v>46</v>
      </c>
      <c r="K126" s="16">
        <f t="shared" si="8"/>
        <v>-0.10072012878123551</v>
      </c>
      <c r="L126" s="16">
        <f t="shared" si="9"/>
        <v>2.4539877300613845E-3</v>
      </c>
    </row>
    <row r="127" spans="1:12" x14ac:dyDescent="0.25">
      <c r="A127" s="28">
        <v>2023</v>
      </c>
      <c r="B127" s="28" t="s">
        <v>31</v>
      </c>
      <c r="C127" s="16">
        <f t="shared" si="6"/>
        <v>2.4065505952612351E-2</v>
      </c>
      <c r="D127" s="16">
        <f t="shared" si="7"/>
        <v>6.6261733848703317E-3</v>
      </c>
      <c r="I127" s="28">
        <v>2023</v>
      </c>
      <c r="J127" s="28" t="s">
        <v>31</v>
      </c>
      <c r="K127" s="16">
        <f t="shared" si="8"/>
        <v>2.4065505952612351E-2</v>
      </c>
      <c r="L127" s="16">
        <f t="shared" si="9"/>
        <v>1.2239902080782657E-3</v>
      </c>
    </row>
    <row r="128" spans="1:12" x14ac:dyDescent="0.25">
      <c r="A128" s="28">
        <v>2023</v>
      </c>
      <c r="B128" s="28" t="s">
        <v>35</v>
      </c>
      <c r="C128" s="16">
        <f t="shared" si="6"/>
        <v>6.7277275012187646E-3</v>
      </c>
      <c r="D128" s="16">
        <f t="shared" si="7"/>
        <v>1.1519473395501889E-2</v>
      </c>
      <c r="I128" s="28">
        <v>2023</v>
      </c>
      <c r="J128" s="28" t="s">
        <v>35</v>
      </c>
      <c r="K128" s="16">
        <f t="shared" si="8"/>
        <v>6.7277275012187646E-3</v>
      </c>
      <c r="L128" s="16">
        <f t="shared" si="9"/>
        <v>3.6674816625916523E-3</v>
      </c>
    </row>
    <row r="129" spans="1:12" x14ac:dyDescent="0.25">
      <c r="A129" s="28">
        <v>2023</v>
      </c>
      <c r="B129" s="28" t="s">
        <v>36</v>
      </c>
      <c r="C129" s="16">
        <f t="shared" si="6"/>
        <v>-5.0700031226476455E-2</v>
      </c>
      <c r="D129" s="16">
        <f t="shared" si="7"/>
        <v>0</v>
      </c>
      <c r="I129" s="28">
        <v>2023</v>
      </c>
      <c r="J129" s="28" t="s">
        <v>36</v>
      </c>
      <c r="K129" s="16">
        <f t="shared" si="8"/>
        <v>-5.0700031226476455E-2</v>
      </c>
      <c r="L129" s="16">
        <f t="shared" si="9"/>
        <v>0</v>
      </c>
    </row>
    <row r="130" spans="1:12" x14ac:dyDescent="0.25">
      <c r="A130" s="28">
        <v>2023</v>
      </c>
      <c r="B130" s="28" t="s">
        <v>37</v>
      </c>
      <c r="C130" s="16">
        <f t="shared" si="6"/>
        <v>7.4771567957539559E-2</v>
      </c>
      <c r="D130" s="16">
        <f t="shared" si="7"/>
        <v>3.2537960954446546E-3</v>
      </c>
      <c r="I130" s="28">
        <v>2023</v>
      </c>
      <c r="J130" s="28" t="s">
        <v>37</v>
      </c>
      <c r="K130" s="16">
        <f t="shared" si="8"/>
        <v>7.4771567957539559E-2</v>
      </c>
      <c r="L130" s="16">
        <f t="shared" si="9"/>
        <v>1.8270401948843567E-3</v>
      </c>
    </row>
    <row r="131" spans="1:12" x14ac:dyDescent="0.25">
      <c r="A131" s="28">
        <v>2023</v>
      </c>
      <c r="B131" s="28" t="s">
        <v>38</v>
      </c>
      <c r="C131" s="16">
        <f t="shared" si="6"/>
        <v>-9.7718169626949611E-2</v>
      </c>
      <c r="D131" s="16">
        <f t="shared" si="7"/>
        <v>3.7837837837837222E-3</v>
      </c>
      <c r="I131" s="28">
        <v>2023</v>
      </c>
      <c r="J131" s="28" t="s">
        <v>38</v>
      </c>
      <c r="K131" s="16">
        <f t="shared" si="8"/>
        <v>-9.7718169626949611E-2</v>
      </c>
      <c r="L131" s="16">
        <f t="shared" si="9"/>
        <v>1.8237082066869992E-3</v>
      </c>
    </row>
    <row r="134" spans="1:12" ht="15.75" x14ac:dyDescent="0.25">
      <c r="C134" s="13" t="s">
        <v>76</v>
      </c>
      <c r="D134" s="13"/>
      <c r="E134" s="13"/>
      <c r="F134" s="13"/>
      <c r="G134" s="13"/>
      <c r="H134" s="13"/>
    </row>
    <row r="135" spans="1:12" ht="15.75" x14ac:dyDescent="0.25">
      <c r="C135" s="13" t="s">
        <v>77</v>
      </c>
      <c r="D135" s="13"/>
      <c r="E135" s="13"/>
      <c r="F135" s="13"/>
      <c r="G135" s="13"/>
      <c r="H135" s="13"/>
    </row>
  </sheetData>
  <mergeCells count="5">
    <mergeCell ref="J7:K7"/>
    <mergeCell ref="J8:K8"/>
    <mergeCell ref="J9:K9"/>
    <mergeCell ref="J10:K10"/>
    <mergeCell ref="J11:K11"/>
  </mergeCells>
  <conditionalFormatting sqref="C70:D98">
    <cfRule type="colorScale" priority="4">
      <colorScale>
        <cfvo type="min"/>
        <cfvo type="percentile" val="50"/>
        <cfvo type="max"/>
        <color rgb="FFF8696B"/>
        <color rgb="FFFFEB84"/>
        <color rgb="FF63BE7B"/>
      </colorScale>
    </cfRule>
  </conditionalFormatting>
  <conditionalFormatting sqref="C103:D131">
    <cfRule type="colorScale" priority="1">
      <colorScale>
        <cfvo type="min"/>
        <cfvo type="percentile" val="50"/>
        <cfvo type="max"/>
        <color rgb="FFF8696B"/>
        <color rgb="FFFFEB84"/>
        <color rgb="FF63BE7B"/>
      </colorScale>
    </cfRule>
  </conditionalFormatting>
  <conditionalFormatting sqref="C36:G64">
    <cfRule type="colorScale" priority="5">
      <colorScale>
        <cfvo type="min"/>
        <cfvo type="percentile" val="50"/>
        <cfvo type="max"/>
        <color rgb="FFF8696B"/>
        <color rgb="FFFFEB84"/>
        <color rgb="FF63BE7B"/>
      </colorScale>
    </cfRule>
  </conditionalFormatting>
  <conditionalFormatting sqref="K70:L98">
    <cfRule type="colorScale" priority="3">
      <colorScale>
        <cfvo type="min"/>
        <cfvo type="percentile" val="50"/>
        <cfvo type="max"/>
        <color rgb="FFF8696B"/>
        <color rgb="FFFFEB84"/>
        <color rgb="FF63BE7B"/>
      </colorScale>
    </cfRule>
  </conditionalFormatting>
  <conditionalFormatting sqref="K103:L131">
    <cfRule type="colorScale" priority="2">
      <colorScale>
        <cfvo type="min"/>
        <cfvo type="percentile" val="50"/>
        <cfvo type="max"/>
        <color rgb="FFF8696B"/>
        <color rgb="FFFFEB84"/>
        <color rgb="FF63BE7B"/>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All_India_Index_Upto_April23</vt:lpstr>
      <vt:lpstr>Analysis 1</vt:lpstr>
      <vt:lpstr>Analysis 2</vt:lpstr>
      <vt:lpstr>Analysis 3</vt:lpstr>
      <vt:lpstr>Analysis 4</vt:lpstr>
      <vt:lpstr>Analysis 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Manas Gupta</dc:creator>
  <cp:lastModifiedBy>manas gupta</cp:lastModifiedBy>
  <dcterms:created xsi:type="dcterms:W3CDTF">2025-10-04T04:54:26Z</dcterms:created>
  <dcterms:modified xsi:type="dcterms:W3CDTF">2026-05-25T00:26:16Z</dcterms:modified>
</cp:coreProperties>
</file>